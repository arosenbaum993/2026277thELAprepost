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ttings" sheetId="2" state="visible" r:id="rId2"/>
    <sheet name="Roster" sheetId="3" state="visible" r:id="rId3"/>
    <sheet name="Pre-Test Entry" sheetId="4" state="visible" r:id="rId4"/>
    <sheet name="Post-Test Entry" sheetId="5" state="visible" r:id="rId5"/>
    <sheet name="Student Report" sheetId="6" state="visible" r:id="rId6"/>
    <sheet name="Class Dashboard" sheetId="7" state="visible" r:id="rId7"/>
    <sheet name="Item Analysis" sheetId="8" state="visible" r:id="rId8"/>
    <sheet name="Intervention Groups" sheetId="9" state="visible" r:id="rId9"/>
    <sheet name="Standards Coverage"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10">
    <font>
      <name val="Calibri"/>
      <family val="2"/>
      <color theme="1"/>
      <sz val="11"/>
      <scheme val="minor"/>
    </font>
    <font>
      <name val="Arial"/>
      <b val="1"/>
      <color rgb="00FFFFFF"/>
      <sz val="16"/>
    </font>
    <font>
      <name val="Arial"/>
      <sz val="10"/>
    </font>
    <font>
      <name val="Arial"/>
      <b val="1"/>
      <color rgb="001F3864"/>
      <sz val="12"/>
    </font>
    <font>
      <name val="Arial"/>
      <b val="1"/>
      <sz val="10"/>
    </font>
    <font>
      <name val="Arial"/>
      <i val="1"/>
      <color rgb="00595959"/>
      <sz val="9"/>
    </font>
    <font>
      <name val="Arial"/>
      <color rgb="000000FF"/>
      <sz val="10"/>
    </font>
    <font>
      <name val="Arial"/>
      <b val="1"/>
      <color rgb="00FFFFFF"/>
      <sz val="9"/>
    </font>
    <font>
      <name val="Arial"/>
      <sz val="9"/>
    </font>
    <font>
      <name val="Arial"/>
      <b val="1"/>
      <sz val="9"/>
    </font>
  </fonts>
  <fills count="12">
    <fill>
      <patternFill/>
    </fill>
    <fill>
      <patternFill patternType="gray125"/>
    </fill>
    <fill>
      <patternFill patternType="solid">
        <fgColor rgb="001F3864"/>
      </patternFill>
    </fill>
    <fill>
      <patternFill patternType="solid">
        <fgColor rgb="00DCE6F1"/>
      </patternFill>
    </fill>
    <fill>
      <patternFill patternType="solid">
        <fgColor rgb="00FFF2CC"/>
      </patternFill>
    </fill>
    <fill>
      <patternFill patternType="solid">
        <fgColor rgb="00E8E8E8"/>
      </patternFill>
    </fill>
    <fill>
      <patternFill patternType="solid">
        <fgColor rgb="002E5C8A"/>
      </patternFill>
    </fill>
    <fill>
      <patternFill patternType="solid">
        <fgColor rgb="00F2F5FA"/>
      </patternFill>
    </fill>
    <fill>
      <patternFill patternType="solid">
        <fgColor rgb="007B7B7B"/>
      </patternFill>
    </fill>
    <fill>
      <patternFill patternType="solid">
        <fgColor rgb="004472A8"/>
      </patternFill>
    </fill>
    <fill>
      <patternFill patternType="solid">
        <fgColor rgb="00548235"/>
      </patternFill>
    </fill>
    <fill>
      <patternFill patternType="solid">
        <fgColor rgb="00A6531C"/>
      </patternFill>
    </fill>
  </fills>
  <borders count="2">
    <border>
      <left/>
      <right/>
      <top/>
      <bottom/>
      <diagonal/>
    </border>
    <border>
      <left style="thin">
        <color rgb="00B0B8C4"/>
      </left>
      <right style="thin">
        <color rgb="00B0B8C4"/>
      </right>
      <top style="thin">
        <color rgb="00B0B8C4"/>
      </top>
      <bottom style="thin">
        <color rgb="00B0B8C4"/>
      </bottom>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top" wrapText="1"/>
    </xf>
    <xf numFmtId="0" fontId="3" fillId="3" borderId="0" applyAlignment="1" pivotButton="0" quotePrefix="0" xfId="0">
      <alignment horizontal="left" vertical="center" indent="1"/>
    </xf>
    <xf numFmtId="0" fontId="4" fillId="0" borderId="0" applyAlignment="1" pivotButton="0" quotePrefix="0" xfId="0">
      <alignment horizontal="left" vertical="top" wrapText="1"/>
    </xf>
    <xf numFmtId="0" fontId="4" fillId="0" borderId="0" pivotButton="0" quotePrefix="0" xfId="0"/>
    <xf numFmtId="0" fontId="5" fillId="0" borderId="0" applyAlignment="1" pivotButton="0" quotePrefix="0" xfId="0">
      <alignment horizontal="left" vertical="top" wrapText="1"/>
    </xf>
    <xf numFmtId="0" fontId="5" fillId="0" borderId="0" pivotButton="0" quotePrefix="0" xfId="0"/>
    <xf numFmtId="0" fontId="5" fillId="0" borderId="0" applyAlignment="1" pivotButton="0" quotePrefix="0" xfId="0">
      <alignment horizontal="left" vertical="center" indent="1"/>
    </xf>
    <xf numFmtId="0" fontId="2" fillId="0" borderId="0" applyAlignment="1" pivotButton="0" quotePrefix="0" xfId="0">
      <alignment vertical="center" indent="1"/>
    </xf>
    <xf numFmtId="0" fontId="6" fillId="4" borderId="1" applyAlignment="1" pivotButton="0" quotePrefix="0" xfId="0">
      <alignment horizontal="center" vertical="center"/>
    </xf>
    <xf numFmtId="9" fontId="6" fillId="4" borderId="1" applyAlignment="1" pivotButton="0" quotePrefix="0" xfId="0">
      <alignment horizontal="center" vertical="center"/>
    </xf>
    <xf numFmtId="2" fontId="6" fillId="4" borderId="1" applyAlignment="1" pivotButton="0" quotePrefix="0" xfId="0">
      <alignment horizontal="center" vertical="center"/>
    </xf>
    <xf numFmtId="2" fontId="4" fillId="5" borderId="1" applyAlignment="1" pivotButton="0" quotePrefix="0" xfId="0">
      <alignment horizontal="center" vertical="center"/>
    </xf>
    <xf numFmtId="164" fontId="4" fillId="5" borderId="1" applyAlignment="1" pivotButton="0" quotePrefix="0" xfId="0">
      <alignment horizontal="center" vertical="center"/>
    </xf>
    <xf numFmtId="0" fontId="7" fillId="6" borderId="1" applyAlignment="1" pivotButton="0" quotePrefix="0" xfId="0">
      <alignment horizontal="center" vertical="center" wrapText="1"/>
    </xf>
    <xf numFmtId="0" fontId="4" fillId="0"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horizontal="center" vertical="center"/>
    </xf>
    <xf numFmtId="0" fontId="4" fillId="7" borderId="1" applyAlignment="1" pivotButton="0" quotePrefix="0" xfId="0">
      <alignment horizontal="center" vertical="center"/>
    </xf>
    <xf numFmtId="0" fontId="2" fillId="7" borderId="1" applyAlignment="1" pivotButton="0" quotePrefix="0" xfId="0">
      <alignment horizontal="left" vertical="top" wrapText="1"/>
    </xf>
    <xf numFmtId="0" fontId="2" fillId="7" borderId="1" applyAlignment="1" pivotButton="0" quotePrefix="0" xfId="0">
      <alignment horizontal="center" vertical="center"/>
    </xf>
    <xf numFmtId="0" fontId="4" fillId="0" borderId="0" applyAlignment="1" pivotButton="0" quotePrefix="0" xfId="0">
      <alignment horizontal="right"/>
    </xf>
    <xf numFmtId="0" fontId="4" fillId="0" borderId="1" applyAlignment="1" pivotButton="0" quotePrefix="0" xfId="0">
      <alignment vertical="center" indent="1"/>
    </xf>
    <xf numFmtId="0" fontId="8" fillId="0" borderId="0" applyAlignment="1" pivotButton="0" quotePrefix="0" xfId="0">
      <alignment horizontal="left" vertical="top" wrapText="1"/>
    </xf>
    <xf numFmtId="0" fontId="6" fillId="4" borderId="1" applyAlignment="1" pivotButton="0" quotePrefix="0" xfId="0">
      <alignment indent="1"/>
    </xf>
    <xf numFmtId="0" fontId="5" fillId="0" borderId="0" applyAlignment="1" pivotButton="0" quotePrefix="0" xfId="0">
      <alignment horizontal="right"/>
    </xf>
    <xf numFmtId="0" fontId="8" fillId="3" borderId="1" applyAlignment="1" pivotButton="0" quotePrefix="0" xfId="0">
      <alignment horizontal="center" vertical="center"/>
    </xf>
    <xf numFmtId="0" fontId="9" fillId="5" borderId="1" applyAlignment="1" pivotButton="0" quotePrefix="0" xfId="0">
      <alignment horizontal="center" vertical="center"/>
    </xf>
    <xf numFmtId="0" fontId="9" fillId="5" borderId="0" applyAlignment="1" pivotButton="0" quotePrefix="0" xfId="0">
      <alignment horizontal="center" vertical="center"/>
    </xf>
    <xf numFmtId="0" fontId="8" fillId="0" borderId="1" applyAlignment="1" pivotButton="0" quotePrefix="0" xfId="0">
      <alignment horizontal="center" vertical="center"/>
    </xf>
    <xf numFmtId="0" fontId="8" fillId="0" borderId="1" pivotButton="0" quotePrefix="0" xfId="0"/>
    <xf numFmtId="0" fontId="7" fillId="8" borderId="0" applyAlignment="1" pivotButton="0" quotePrefix="0" xfId="0">
      <alignment horizontal="center" vertical="center"/>
    </xf>
    <xf numFmtId="0" fontId="7" fillId="9" borderId="0" applyAlignment="1" pivotButton="0" quotePrefix="0" xfId="0">
      <alignment horizontal="center" vertical="center"/>
    </xf>
    <xf numFmtId="0" fontId="7" fillId="10" borderId="0" applyAlignment="1" pivotButton="0" quotePrefix="0" xfId="0">
      <alignment horizontal="center" vertical="center"/>
    </xf>
    <xf numFmtId="0" fontId="7" fillId="11" borderId="0" applyAlignment="1" pivotButton="0" quotePrefix="0" xfId="0">
      <alignment horizontal="center" vertical="center"/>
    </xf>
    <xf numFmtId="0" fontId="8" fillId="3" borderId="0" applyAlignment="1" pivotButton="0" quotePrefix="0" xfId="0">
      <alignment horizontal="center" vertical="center"/>
    </xf>
    <xf numFmtId="9" fontId="8" fillId="0" borderId="1" applyAlignment="1" pivotButton="0" quotePrefix="0" xfId="0">
      <alignment horizontal="center" vertical="center"/>
    </xf>
    <xf numFmtId="2" fontId="8" fillId="0" borderId="1" applyAlignment="1" pivotButton="0" quotePrefix="0" xfId="0">
      <alignment horizontal="center" vertical="center"/>
    </xf>
    <xf numFmtId="0" fontId="8" fillId="0" borderId="1" applyAlignment="1" pivotButton="0" quotePrefix="0" xfId="0">
      <alignment horizontal="left" vertical="top" wrapText="1"/>
    </xf>
    <xf numFmtId="0" fontId="2" fillId="0" borderId="0" applyAlignment="1" pivotButton="0" quotePrefix="0" xfId="0">
      <alignment indent="1"/>
    </xf>
    <xf numFmtId="1" fontId="2" fillId="0" borderId="1" applyAlignment="1" pivotButton="0" quotePrefix="0" xfId="0">
      <alignment horizontal="center" vertical="center"/>
    </xf>
    <xf numFmtId="164" fontId="2" fillId="0" borderId="1" applyAlignment="1" pivotButton="0" quotePrefix="0" xfId="0">
      <alignment horizontal="center" vertical="center"/>
    </xf>
    <xf numFmtId="9" fontId="2" fillId="0" borderId="1" applyAlignment="1" pivotButton="0" quotePrefix="0" xfId="0">
      <alignment horizontal="center" vertical="center"/>
    </xf>
    <xf numFmtId="0" fontId="4" fillId="0" borderId="0" applyAlignment="1" pivotButton="0" quotePrefix="0" xfId="0">
      <alignment indent="1"/>
    </xf>
    <xf numFmtId="2" fontId="4" fillId="0" borderId="1" applyAlignment="1" pivotButton="0" quotePrefix="0" xfId="0">
      <alignment horizontal="center" vertical="center"/>
    </xf>
    <xf numFmtId="0" fontId="2" fillId="0" borderId="1" applyAlignment="1" pivotButton="0" quotePrefix="0" xfId="0">
      <alignment horizontal="center" vertical="center" wrapText="1"/>
    </xf>
    <xf numFmtId="1" fontId="4" fillId="0" borderId="1" applyAlignment="1" pivotButton="0" quotePrefix="0" xfId="0">
      <alignment horizontal="center" vertical="center"/>
    </xf>
    <xf numFmtId="9" fontId="4" fillId="0" borderId="1" applyAlignment="1" pivotButton="0" quotePrefix="0" xfId="0">
      <alignment horizontal="center" vertical="center"/>
    </xf>
    <xf numFmtId="165" fontId="8" fillId="0" borderId="0" pivotButton="0" quotePrefix="0" xfId="0"/>
    <xf numFmtId="0" fontId="8" fillId="7" borderId="1" applyAlignment="1" pivotButton="0" quotePrefix="0" xfId="0">
      <alignment horizontal="center" vertical="center"/>
    </xf>
    <xf numFmtId="0" fontId="8" fillId="7" borderId="1" applyAlignment="1" pivotButton="0" quotePrefix="0" xfId="0">
      <alignment horizontal="left" vertical="top" wrapText="1"/>
    </xf>
    <xf numFmtId="2" fontId="8" fillId="7" borderId="1" applyAlignment="1" pivotButton="0" quotePrefix="0" xfId="0">
      <alignment horizontal="center" vertical="center"/>
    </xf>
    <xf numFmtId="9" fontId="8" fillId="7" borderId="1" applyAlignment="1" pivotButton="0" quotePrefix="0" xfId="0">
      <alignment horizontal="center" vertical="center"/>
    </xf>
    <xf numFmtId="165" fontId="2" fillId="0" borderId="1" applyAlignment="1" pivotButton="0" quotePrefix="0" xfId="0">
      <alignment horizontal="center" vertical="center"/>
    </xf>
    <xf numFmtId="165" fontId="4" fillId="0" borderId="1" applyAlignment="1" pivotButton="0" quotePrefix="0" xfId="0">
      <alignment horizontal="center" vertical="center"/>
    </xf>
    <xf numFmtId="0" fontId="8" fillId="0" borderId="1" applyAlignment="1" pivotButton="0" quotePrefix="0" xfId="0">
      <alignment indent="1"/>
    </xf>
    <xf numFmtId="0" fontId="9" fillId="0" borderId="1" applyAlignment="1" pivotButton="0" quotePrefix="0" xfId="0">
      <alignment horizontal="center" vertical="center"/>
    </xf>
  </cellXfs>
  <cellStyles count="1">
    <cellStyle name="Normal" xfId="0" builtinId="0" hidden="0"/>
  </cellStyles>
  <dxfs count="6">
    <dxf>
      <font>
        <name val="Arial"/>
        <b val="1"/>
        <color rgb="009C0006"/>
        <sz val="10"/>
      </font>
      <fill>
        <patternFill patternType="solid">
          <fgColor rgb="00FFC7CE"/>
        </patternFill>
      </fill>
    </dxf>
    <dxf>
      <fill>
        <patternFill patternType="solid">
          <fgColor rgb="00C6EFCE"/>
        </patternFill>
      </fill>
    </dxf>
    <dxf>
      <fill>
        <patternFill patternType="solid">
          <fgColor rgb="00FFEB9C"/>
        </patternFill>
      </fill>
    </dxf>
    <dxf>
      <fill>
        <patternFill patternType="solid">
          <fgColor rgb="00FFC7CE"/>
        </patternFill>
      </fill>
    </dxf>
    <dxf>
      <font>
        <name val="Arial"/>
        <b val="1"/>
        <color rgb="007F6000"/>
        <sz val="9"/>
      </font>
      <fill>
        <patternFill patternType="solid">
          <fgColor rgb="00FFEB9C"/>
        </patternFill>
      </fill>
    </dxf>
    <dxf>
      <font>
        <name val="Arial"/>
        <b val="1"/>
        <color rgb="009C0006"/>
        <sz val="9"/>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showGridLines="0" workbookViewId="0">
      <selection activeCell="A1" sqref="A1"/>
    </sheetView>
  </sheetViews>
  <sheetFormatPr baseColWidth="8" defaultRowHeight="15"/>
  <cols>
    <col width="4" customWidth="1" min="1" max="1"/>
    <col width="34" customWidth="1" min="2" max="2"/>
    <col width="96" customWidth="1" min="3" max="3"/>
  </cols>
  <sheetData>
    <row r="1" ht="30" customHeight="1">
      <c r="A1" s="1" t="inlineStr">
        <is>
          <t>Grade 7 ELA Pre/Post Assessment — Results Reporting Workbook</t>
        </is>
      </c>
    </row>
    <row r="3">
      <c r="C3" s="2" t="inlineStr"/>
    </row>
    <row r="4" ht="20" customHeight="1">
      <c r="A4" s="3" t="inlineStr">
        <is>
          <t>What this workbook does</t>
        </is>
      </c>
    </row>
    <row r="5" ht="39" customHeight="1">
      <c r="C5" s="2" t="inlineStr">
        <is>
          <t>You enter item-level scores. It computes reporting-category profiles, achievement levels, growth statistics, item difficulty, and ready-to-teach intervention groups — automatically, for every student.</t>
        </is>
      </c>
    </row>
    <row r="6">
      <c r="C6" s="2" t="inlineStr"/>
    </row>
    <row r="7" ht="20" customHeight="1">
      <c r="A7" s="3" t="inlineStr">
        <is>
          <t>Do this, in this order</t>
        </is>
      </c>
    </row>
    <row r="8" ht="26" customHeight="1">
      <c r="B8" s="4" t="inlineStr">
        <is>
          <t>1.  Roster</t>
        </is>
      </c>
      <c r="C8" s="2" t="inlineStr">
        <is>
          <t>Enter your students. Anything you type in a YELLOW cell is an input; everything else is a formula and should be left alone. Row 6 contains an example student — overwrite it.</t>
        </is>
      </c>
    </row>
    <row r="9" ht="26" customHeight="1">
      <c r="B9" s="4" t="inlineStr">
        <is>
          <t>2.  Pre-Test Entry</t>
        </is>
      </c>
      <c r="C9" s="2" t="inlineStr">
        <is>
          <t>After administering Form A, enter the points earned on each item. Enter 0 for a wrong answer, not a blank. Blanks are treated as 'not yet tested'.</t>
        </is>
      </c>
    </row>
    <row r="10" ht="15" customHeight="1">
      <c r="B10" s="4" t="inlineStr">
        <is>
          <t>3.  Student Report</t>
        </is>
      </c>
      <c r="C10" s="2" t="inlineStr">
        <is>
          <t>Read the profile. It is computed the moment you finish entering.</t>
        </is>
      </c>
    </row>
    <row r="11" ht="15" customHeight="1">
      <c r="B11" s="4" t="inlineStr">
        <is>
          <t>4.  Intervention Groups</t>
        </is>
      </c>
      <c r="C11" s="2" t="inlineStr">
        <is>
          <t>Sort by column F. That column is each student's primary instructional group.</t>
        </is>
      </c>
    </row>
    <row r="12" ht="15" customHeight="1">
      <c r="B12" s="4" t="inlineStr">
        <is>
          <t>5.  Post-Test Entry</t>
        </is>
      </c>
      <c r="C12" s="2" t="inlineStr">
        <is>
          <t>After administering Form B in the spring, enter scores the same way.</t>
        </is>
      </c>
    </row>
    <row r="13" ht="15" customHeight="1">
      <c r="B13" s="4" t="inlineStr">
        <is>
          <t>6.  Class Dashboard</t>
        </is>
      </c>
      <c r="C13" s="2" t="inlineStr">
        <is>
          <t>Growth, effect size, and level movement for the whole class or by period.</t>
        </is>
      </c>
    </row>
    <row r="14">
      <c r="C14" s="2" t="inlineStr"/>
    </row>
    <row r="15" ht="20" customHeight="1">
      <c r="A15" s="3" t="inlineStr">
        <is>
          <t>Cell colors</t>
        </is>
      </c>
    </row>
    <row r="16" ht="15" customHeight="1">
      <c r="B16" s="4" t="inlineStr">
        <is>
          <t>Yellow</t>
        </is>
      </c>
      <c r="C16" s="2" t="inlineStr">
        <is>
          <t>You type here. These are the only cells you should edit.</t>
        </is>
      </c>
    </row>
    <row r="17" ht="15" customHeight="1">
      <c r="B17" s="4" t="inlineStr">
        <is>
          <t>White / grey</t>
        </is>
      </c>
      <c r="C17" s="2" t="inlineStr">
        <is>
          <t>Formulas. Editing one breaks the report for that student.</t>
        </is>
      </c>
    </row>
    <row r="18" ht="15" customHeight="1">
      <c r="B18" s="4" t="inlineStr">
        <is>
          <t>Blue text</t>
        </is>
      </c>
      <c r="C18" s="2" t="inlineStr">
        <is>
          <t>A value you may change deliberately (cut scores, thresholds) on the Settings sheet.</t>
        </is>
      </c>
    </row>
    <row r="19">
      <c r="C19" s="2" t="inlineStr"/>
    </row>
    <row r="20" ht="20" customHeight="1">
      <c r="A20" s="3" t="inlineStr">
        <is>
          <t>Score entry rules</t>
        </is>
      </c>
    </row>
    <row r="21" ht="26" customHeight="1">
      <c r="B21" s="4" t="inlineStr">
        <is>
          <t>Items 1-38</t>
        </is>
      </c>
      <c r="C21" s="2" t="inlineStr">
        <is>
          <t>Enter the points earned: 0 or 1 for 1-point items; 0, 1, or 2 for 2-point items. The maximum for each item is shown in row 4 of the entry sheet.</t>
        </is>
      </c>
    </row>
    <row r="22" ht="26" customHeight="1">
      <c r="B22" s="4" t="inlineStr">
        <is>
          <t>Item 39 (essay)</t>
        </is>
      </c>
      <c r="C22" s="2" t="inlineStr">
        <is>
          <t>Enter THREE separate trait scores: Q39_T1 (0-3), Q39_T2 (0-3), Q39_T3 (0-2). Half-points are allowed if you double-scored and averaged.</t>
        </is>
      </c>
    </row>
    <row r="23" ht="26" customHeight="1">
      <c r="B23" s="4" t="inlineStr">
        <is>
          <t>Essay condition code</t>
        </is>
      </c>
      <c r="C23" s="2" t="inlineStr">
        <is>
          <t>If the essay could not be rubric-scored, leave the three trait cells BLANK and enter a code (A-E) in the Essay Cond Code column. See the scoring guide.</t>
        </is>
      </c>
    </row>
    <row r="24">
      <c r="C24" s="2" t="inlineStr"/>
    </row>
    <row r="25" ht="20" customHeight="1">
      <c r="A25" s="3" t="inlineStr">
        <is>
          <t>Three things worth knowing before you report any of this</t>
        </is>
      </c>
    </row>
    <row r="26" ht="39" customHeight="1">
      <c r="B26" s="4" t="inlineStr">
        <is>
          <t>Category scores are small</t>
        </is>
      </c>
      <c r="C26" s="2" t="inlineStr">
        <is>
          <t>A category rests on as few as 6 points. Treat a low category percent as a HYPOTHESIS to confirm against the student's actual work — never as a diagnosis on its own. The Student Report shows the items missed for exactly this reason.</t>
        </is>
      </c>
    </row>
    <row r="27" ht="39" customHeight="1">
      <c r="B27" s="4" t="inlineStr">
        <is>
          <t>Not every gain is real</t>
        </is>
      </c>
      <c r="C27" s="2" t="inlineStr">
        <is>
          <t>The workbook computes a Reliable Change Index. A gain smaller than the reliable-change threshold on the Settings sheet may be measurement noise. Report small individual gains as class-level movement, not as student growth.</t>
        </is>
      </c>
    </row>
    <row r="28" ht="39" customHeight="1">
      <c r="B28" s="4" t="inlineStr">
        <is>
          <t>Cut scores are provisional</t>
        </is>
      </c>
      <c r="C28" s="2" t="inlineStr">
        <is>
          <t>The achievement levels here were set by content review, not by a state standard-setting panel. They are instructional triage, NOT a prediction of a student's Georgia Milestones level. Replace them with locally derived cuts after your first full year.</t>
        </is>
      </c>
    </row>
    <row r="29">
      <c r="C29" s="2" t="inlineStr"/>
    </row>
    <row r="30" ht="20" customHeight="1">
      <c r="A30" s="3" t="inlineStr">
        <is>
          <t>Sheets in this workbook</t>
        </is>
      </c>
    </row>
    <row r="31" ht="26" customHeight="1">
      <c r="B31" s="4" t="inlineStr">
        <is>
          <t>Settings</t>
        </is>
      </c>
      <c r="C31" s="2" t="inlineStr">
        <is>
          <t>Cut scores, mastery thresholds, growth target, and the intervention lookup table. All editable.</t>
        </is>
      </c>
    </row>
    <row r="32" ht="15" customHeight="1">
      <c r="B32" s="4" t="inlineStr">
        <is>
          <t>Roster</t>
        </is>
      </c>
      <c r="C32" s="2" t="inlineStr">
        <is>
          <t>Student names, class period, form order, and subgroup flags.</t>
        </is>
      </c>
    </row>
    <row r="33" ht="15" customHeight="1">
      <c r="B33" s="4" t="inlineStr">
        <is>
          <t>Pre-Test Entry / Post-Test Entry</t>
        </is>
      </c>
      <c r="C33" s="2" t="inlineStr">
        <is>
          <t>Item-level score entry for Form A and Form B.</t>
        </is>
      </c>
    </row>
    <row r="34" ht="26" customHeight="1">
      <c r="B34" s="4" t="inlineStr">
        <is>
          <t>Student Report</t>
        </is>
      </c>
      <c r="C34" s="2" t="inlineStr">
        <is>
          <t>One row per student: totals, levels, growth statistics, category profile, weakest areas, and a recommended instructional focus.</t>
        </is>
      </c>
    </row>
    <row r="35" ht="15" customHeight="1">
      <c r="B35" s="4" t="inlineStr">
        <is>
          <t>Class Dashboard</t>
        </is>
      </c>
      <c r="C35" s="2" t="inlineStr">
        <is>
          <t>Class and period summaries, level distributions, category means, and effect size.</t>
        </is>
      </c>
    </row>
    <row r="36" ht="26" customHeight="1">
      <c r="B36" s="4" t="inlineStr">
        <is>
          <t>Item Analysis</t>
        </is>
      </c>
      <c r="C36" s="2" t="inlineStr">
        <is>
          <t>Item difficulty (p-values), discrimination, pre/post change, Cronbach's alpha, and flags for items that are not working.</t>
        </is>
      </c>
    </row>
    <row r="37" ht="15" customHeight="1">
      <c r="B37" s="4" t="inlineStr">
        <is>
          <t>Intervention Groups</t>
        </is>
      </c>
      <c r="C37" s="2" t="inlineStr">
        <is>
          <t>Mastery heat map plus each student's primary and secondary instructional group.</t>
        </is>
      </c>
    </row>
    <row r="38" ht="15" customHeight="1">
      <c r="B38" s="4" t="inlineStr">
        <is>
          <t>Standards Coverage</t>
        </is>
      </c>
      <c r="C38" s="2" t="inlineStr">
        <is>
          <t>Which Grade 7 expectations this instrument does and does not measure.</t>
        </is>
      </c>
    </row>
    <row r="40" ht="40" customHeight="1">
      <c r="B40" s="5" t="inlineStr">
        <is>
          <t>Source of truth</t>
        </is>
      </c>
      <c r="C40" s="6" t="inlineStr">
        <is>
          <t>Georgia's K-12 ELA Standards, Grade 7 (May 2023) · Georgia Milestones Grade 7 ELA Assessment Blueprint (August 2025) · Draft Grade 7 ELA Achievement Level Descriptors (October 2025) · Georgia Milestones Grade 7 Eight-Point, Three-Trait Writing Rubric (August 2026) · Grade 7 Classroom Peer Revision Guidance (February 2026).</t>
        </is>
      </c>
    </row>
  </sheetData>
  <mergeCells count="7">
    <mergeCell ref="A25:C25"/>
    <mergeCell ref="A7:C7"/>
    <mergeCell ref="A30:C30"/>
    <mergeCell ref="A1:H1"/>
    <mergeCell ref="A15:C15"/>
    <mergeCell ref="A4:C4"/>
    <mergeCell ref="A20:C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1"/>
  <sheetViews>
    <sheetView showGridLines="0" workbookViewId="0">
      <selection activeCell="A1" sqref="A1"/>
    </sheetView>
  </sheetViews>
  <sheetFormatPr baseColWidth="8" defaultRowHeight="15"/>
  <cols>
    <col width="46" customWidth="1" min="1" max="1"/>
    <col width="14" customWidth="1" min="2" max="2"/>
    <col width="12" customWidth="1" min="3" max="3"/>
    <col width="60" customWidth="1" min="4" max="4"/>
    <col width="60" customWidth="1" min="5" max="5"/>
    <col width="12" customWidth="1" min="6" max="6"/>
  </cols>
  <sheetData>
    <row r="1" ht="30" customHeight="1">
      <c r="A1" s="1" t="inlineStr">
        <is>
          <t>Settings — cut scores, thresholds, and the intervention lookup table</t>
        </is>
      </c>
      <c r="Y1" s="7" t="inlineStr">
        <is>
          <t>Helper: class-period filter used by the Class Dashboard</t>
        </is>
      </c>
      <c r="Z1">
        <f>IF('Class Dashboard'!$B$4="","*",'Class Dashboard'!$B$4)</f>
        <v/>
      </c>
    </row>
    <row r="2">
      <c r="A2" s="8" t="inlineStr">
        <is>
          <t>Blue values are editable. Every formula in this workbook reads from these cells, so changing one here updates every report.</t>
        </is>
      </c>
    </row>
    <row r="4" ht="20" customHeight="1">
      <c r="A4" s="3" t="inlineStr">
        <is>
          <t>Achievement level cut scores  (raw points out of 60)</t>
        </is>
      </c>
    </row>
    <row r="5">
      <c r="A5" s="9" t="inlineStr">
        <is>
          <t>Developing Learner — minimum raw score</t>
        </is>
      </c>
      <c r="B5" s="10" t="n">
        <v>30</v>
      </c>
      <c r="D5" s="6" t="inlineStr">
        <is>
          <t>Below this score a student is a Beginning Learner. Default = 50% of 60.</t>
        </is>
      </c>
    </row>
    <row r="6">
      <c r="A6" s="9" t="inlineStr">
        <is>
          <t>Proficient Learner — minimum raw score</t>
        </is>
      </c>
      <c r="B6" s="10" t="n">
        <v>39</v>
      </c>
      <c r="D6" s="6" t="inlineStr">
        <is>
          <t>Default = 65% of 60.</t>
        </is>
      </c>
    </row>
    <row r="7">
      <c r="A7" s="9" t="inlineStr">
        <is>
          <t>Distinguished Learner — minimum raw score</t>
        </is>
      </c>
      <c r="B7" s="10" t="n">
        <v>49</v>
      </c>
      <c r="D7" s="6" t="inlineStr">
        <is>
          <t>Default = 82% of 60.</t>
        </is>
      </c>
    </row>
    <row r="8">
      <c r="A8" s="9" t="inlineStr">
        <is>
          <t>Total points possible</t>
        </is>
      </c>
      <c r="B8" s="10" t="n">
        <v>60</v>
      </c>
      <c r="D8" s="6" t="inlineStr">
        <is>
          <t>Do not change unless you shorten the instrument.</t>
        </is>
      </c>
    </row>
    <row r="10" ht="20" customHeight="1">
      <c r="A10" s="3" t="inlineStr">
        <is>
          <t>Category mastery thresholds  (percent of category points)</t>
        </is>
      </c>
    </row>
    <row r="11">
      <c r="A11" s="9" t="inlineStr">
        <is>
          <t>Mastered — minimum percent</t>
        </is>
      </c>
      <c r="B11" s="11" t="n">
        <v>0.8</v>
      </c>
      <c r="D11" s="6" t="inlineStr">
        <is>
          <t>At or above: maintain through spiral review.</t>
        </is>
      </c>
    </row>
    <row r="12">
      <c r="A12" s="9" t="inlineStr">
        <is>
          <t>Approaching — minimum percent</t>
        </is>
      </c>
      <c r="B12" s="11" t="n">
        <v>0.6</v>
      </c>
      <c r="D12" s="6" t="inlineStr">
        <is>
          <t>Between this and Mastered: targeted small-group instruction. Below: explicit reteaching.</t>
        </is>
      </c>
    </row>
    <row r="14" ht="20" customHeight="1">
      <c r="A14" s="3" t="inlineStr">
        <is>
          <t>Growth measurement</t>
        </is>
      </c>
    </row>
    <row r="15">
      <c r="A15" s="9" t="inlineStr">
        <is>
          <t>Individual growth target (raw points)</t>
        </is>
      </c>
      <c r="B15" s="10" t="n">
        <v>9</v>
      </c>
      <c r="D15" s="6" t="inlineStr">
        <is>
          <t>Roughly half a standard deviation. Set BELOW the reliable-change threshold so it works as a goal, not a statistical claim.</t>
        </is>
      </c>
    </row>
    <row r="16">
      <c r="A16" s="9" t="inlineStr">
        <is>
          <t>Assumed reliability (Cronbach's alpha)</t>
        </is>
      </c>
      <c r="B16" s="12" t="n">
        <v>0.85</v>
      </c>
      <c r="D16" s="6" t="inlineStr">
        <is>
          <t>Replace with the value computed on the Item Analysis sheet once you have a full class of data.</t>
        </is>
      </c>
    </row>
    <row r="17">
      <c r="A17" s="9" t="inlineStr">
        <is>
          <t>Standard error of measurement (computed)</t>
        </is>
      </c>
      <c r="B17" s="13">
        <f>IFERROR(ROUND(STDEV('Student Report'!$D$6:$D$155)*SQRT(1-$B$16),2),"")</f>
        <v/>
      </c>
      <c r="D17" s="6" t="inlineStr">
        <is>
          <t>SD of pre-test scores x SQRT(1 - reliability). Populates once pre-test data is entered.</t>
        </is>
      </c>
    </row>
    <row r="18">
      <c r="A18" s="9" t="inlineStr">
        <is>
          <t>Reliable change threshold (raw points)</t>
        </is>
      </c>
      <c r="B18" s="14">
        <f>IFERROR(ROUND($B$17*SQRT(2)*1.96,1),"")</f>
        <v/>
      </c>
      <c r="D18" s="6" t="inlineStr">
        <is>
          <t>A gain at or above this is statistically reliable for an individual student (95% confidence). Smaller gains may be measurement noise.</t>
        </is>
      </c>
    </row>
    <row r="20" ht="20" customHeight="1">
      <c r="A20" s="3" t="inlineStr">
        <is>
          <t>Scoring quality (enter after double-scoring the essays)</t>
        </is>
      </c>
    </row>
    <row r="21">
      <c r="A21" s="9" t="inlineStr">
        <is>
          <t>Essay double-scoring exact-agreement rate</t>
        </is>
      </c>
      <c r="B21" s="11" t="inlineStr"/>
      <c r="D21" s="6" t="inlineStr">
        <is>
          <t>Below 70%, do not report individual essay growth — report class-level trait movement only.</t>
        </is>
      </c>
    </row>
    <row r="22">
      <c r="A22" s="9" t="inlineStr">
        <is>
          <t>Number of essays double-scored</t>
        </is>
      </c>
      <c r="B22" s="10" t="inlineStr"/>
      <c r="D22" s="6" t="inlineStr">
        <is>
          <t>Target: at least 20% of papers.</t>
        </is>
      </c>
    </row>
    <row r="24" ht="20" customHeight="1">
      <c r="A24" s="3" t="inlineStr">
        <is>
          <t>Reporting category reference and intervention lookup</t>
        </is>
      </c>
    </row>
    <row r="25">
      <c r="A25" s="8" t="inlineStr">
        <is>
          <t>Column C max points replicate the Georgia Milestones Grade 7 ELA blueprint exactly. Columns D and E feed the Recommended Focus column on the Student Report.</t>
        </is>
      </c>
    </row>
    <row r="27">
      <c r="A27" s="15" t="inlineStr">
        <is>
          <t>Code</t>
        </is>
      </c>
      <c r="B27" s="15" t="inlineStr">
        <is>
          <t>Category</t>
        </is>
      </c>
      <c r="C27" s="15" t="inlineStr">
        <is>
          <t>Max pts</t>
        </is>
      </c>
      <c r="D27" s="15" t="inlineStr">
        <is>
          <t>Primary instructional focus</t>
        </is>
      </c>
      <c r="E27" s="15" t="inlineStr">
        <is>
          <t>Where to start</t>
        </is>
      </c>
    </row>
    <row r="28" ht="42" customHeight="1">
      <c r="A28" s="16" t="inlineStr">
        <is>
          <t>I-CSS</t>
        </is>
      </c>
      <c r="B28" s="17" t="inlineStr">
        <is>
          <t>Interpreting — Context, Structure &amp; Style</t>
        </is>
      </c>
      <c r="C28" s="18" t="n">
        <v>6</v>
      </c>
      <c r="D28" s="17" t="inlineStr">
        <is>
          <t>Author's purpose and audience; perspective, tone, and credibility; how structure and figurative language shape meaning</t>
        </is>
      </c>
      <c r="E28" s="17" t="inlineStr">
        <is>
          <t>Model 'why did the author build it this way?' on short texts. Standards 7.T.C.1.a, 7.T.C.2.a-b, 7.T.SS.1.a, 7.T.SS.2.a.</t>
        </is>
      </c>
    </row>
    <row r="29" ht="42" customHeight="1">
      <c r="A29" s="19" t="inlineStr">
        <is>
          <t>I-TEC</t>
        </is>
      </c>
      <c r="B29" s="20" t="inlineStr">
        <is>
          <t>Interpreting — Techniques</t>
        </is>
      </c>
      <c r="C29" s="21" t="n">
        <v>16</v>
      </c>
      <c r="D29" s="20" t="inlineStr">
        <is>
          <t>Narrative, expository, argumentative, and poetic technique analysis; theme; claim and counterclaim; comparing two authors on one topic</t>
        </is>
      </c>
      <c r="E29" s="20" t="inlineStr">
        <is>
          <t>Largest category on the test (16 pts). Split by technique type before grouping — narrative gaps and argumentative gaps need different lessons.</t>
        </is>
      </c>
    </row>
    <row r="30" ht="42" customHeight="1">
      <c r="A30" s="16" t="inlineStr">
        <is>
          <t>I-PRA</t>
        </is>
      </c>
      <c r="B30" s="17" t="inlineStr">
        <is>
          <t>Interpreting — Periods &amp; Movements + Research</t>
        </is>
      </c>
      <c r="C30" s="18" t="n">
        <v>6</v>
      </c>
      <c r="D30" s="17" t="inlineStr">
        <is>
          <t>Myth and adaptation analysis; comparing fiction to an account of the same material; source credibility, relevance, and bibliographic information</t>
        </is>
      </c>
      <c r="E30" s="17" t="inlineStr">
        <is>
          <t>Pair every literary text with its source myth or historical account. Teach credibility as a two-part judgment: credible AND relevant to the question.</t>
        </is>
      </c>
    </row>
    <row r="31" ht="42" customHeight="1">
      <c r="A31" s="19" t="inlineStr">
        <is>
          <t>I-LNG</t>
        </is>
      </c>
      <c r="B31" s="20" t="inlineStr">
        <is>
          <t>Interpreting — Language (Grammar &amp; Vocabulary)</t>
        </is>
      </c>
      <c r="C31" s="21" t="n">
        <v>6</v>
      </c>
      <c r="D31" s="20" t="inlineStr">
        <is>
          <t>Context clues beyond the sentence; Greek and Latin roots; part of speech as a meaning clue; connotation; reading syntax</t>
        </is>
      </c>
      <c r="E31" s="20" t="inlineStr">
        <is>
          <t>Daily morphology routine plus 'read the next sentence' modeling for multiple-meaning words. Standards 7.L.V.2, 7.L.V.3, 7.L.GC.2.a.</t>
        </is>
      </c>
    </row>
    <row r="32" ht="42" customHeight="1">
      <c r="A32" s="16" t="inlineStr">
        <is>
          <t>C-CSS</t>
        </is>
      </c>
      <c r="B32" s="17" t="inlineStr">
        <is>
          <t>Constructing — Context, Structure &amp; Style</t>
        </is>
      </c>
      <c r="C32" s="18" t="n">
        <v>8</v>
      </c>
      <c r="D32" s="17" t="inlineStr">
        <is>
          <t>Introductions that establish a claim; cohesive structure; transitions that name relationships; style for a target audience; conclusions that finalize</t>
        </is>
      </c>
      <c r="E32" s="17" t="inlineStr">
        <is>
          <t>Peer Revision Task routine, Trait 1 guided questions. Start with claim-writing and conclusion-writing; transitions after.</t>
        </is>
      </c>
    </row>
    <row r="33" ht="42" customHeight="1">
      <c r="A33" s="19" t="inlineStr">
        <is>
          <t>C-TEC</t>
        </is>
      </c>
      <c r="B33" s="20" t="inlineStr">
        <is>
          <t>Constructing — Techniques</t>
        </is>
      </c>
      <c r="C33" s="21" t="n">
        <v>10</v>
      </c>
      <c r="D33" s="20" t="inlineStr">
        <is>
          <t>Reasons that support the claim; evidence from MULTIPLE sources; elaboration in the student's own words; counterclaims; crediting sources</t>
        </is>
      </c>
      <c r="E33" s="20" t="inlineStr">
        <is>
          <t>Explicit evidence-to-elaboration instruction. Sentence stems: 'This matters because…' Reuse test items 27 and 28 as warm-ups.</t>
        </is>
      </c>
    </row>
    <row r="34" ht="42" customHeight="1">
      <c r="A34" s="16" t="inlineStr">
        <is>
          <t>C-LNG</t>
        </is>
      </c>
      <c r="B34" s="17" t="inlineStr">
        <is>
          <t>Constructing — Language (Grammar &amp; Vocabulary)</t>
        </is>
      </c>
      <c r="C34" s="18" t="n">
        <v>8</v>
      </c>
      <c r="D34" s="17" t="inlineStr">
        <is>
          <t>Sentence variety; consistent verb tense; active voice; misplaced and dangling modifiers; punctuation; precise word choice</t>
        </is>
      </c>
      <c r="E34" s="17" t="inlineStr">
        <is>
          <t>Sentence combining plus targeted GUM work on rows marked M at Grades 6-7. Standards 7.L.GC.2.b-d, 7.L.GC.1.</t>
        </is>
      </c>
    </row>
    <row r="35">
      <c r="B35" s="22" t="inlineStr">
        <is>
          <t>TOTAL</t>
        </is>
      </c>
      <c r="C35" s="16">
        <f>SUM(C28:C34)</f>
        <v/>
      </c>
    </row>
    <row r="37" ht="20" customHeight="1">
      <c r="A37" s="3" t="inlineStr">
        <is>
          <t>Achievement level descriptors (Georgia Department of Education)</t>
        </is>
      </c>
    </row>
    <row r="38" ht="30" customHeight="1">
      <c r="A38" s="23" t="inlineStr">
        <is>
          <t>Beginning Learner</t>
        </is>
      </c>
      <c r="D38" s="24" t="inlineStr">
        <is>
          <t>Does not yet demonstrate proficiency in the knowledge and skills necessary at this grade level. Needs substantial academic support to be prepared for the next grade level.</t>
        </is>
      </c>
    </row>
    <row r="39" ht="30" customHeight="1">
      <c r="A39" s="23" t="inlineStr">
        <is>
          <t>Developing Learner</t>
        </is>
      </c>
      <c r="D39" s="24" t="inlineStr">
        <is>
          <t>Demonstrates partial proficiency. Needs additional academic support to ensure success in the next grade level.</t>
        </is>
      </c>
    </row>
    <row r="40" ht="30" customHeight="1">
      <c r="A40" s="23" t="inlineStr">
        <is>
          <t>Proficient Learner</t>
        </is>
      </c>
      <c r="D40" s="24" t="inlineStr">
        <is>
          <t>Demonstrates proficiency. Prepared for the next grade level and on track for post-secondary readiness.</t>
        </is>
      </c>
    </row>
    <row r="41" ht="30" customHeight="1">
      <c r="A41" s="23" t="inlineStr">
        <is>
          <t>Distinguished Learner</t>
        </is>
      </c>
      <c r="D41" s="24" t="inlineStr">
        <is>
          <t>Demonstrates advanced proficiency. Well prepared for the next grade level and for post-secondary readiness.</t>
        </is>
      </c>
    </row>
  </sheetData>
  <mergeCells count="9">
    <mergeCell ref="A24:F24"/>
    <mergeCell ref="A2:F2"/>
    <mergeCell ref="A10:F10"/>
    <mergeCell ref="A14:F14"/>
    <mergeCell ref="A1:F1"/>
    <mergeCell ref="A37:F37"/>
    <mergeCell ref="A4:F4"/>
    <mergeCell ref="A20:F20"/>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6" customWidth="1" min="3" max="3"/>
    <col width="13" customWidth="1" min="4" max="4"/>
    <col width="14" customWidth="1" min="5" max="5"/>
    <col width="26" customWidth="1" min="6" max="6"/>
    <col width="7" customWidth="1" min="7" max="7"/>
    <col width="7" customWidth="1" min="8" max="8"/>
    <col width="8" customWidth="1" min="9" max="9"/>
  </cols>
  <sheetData>
    <row r="1" ht="30" customHeight="1">
      <c r="A1" s="1" t="inlineStr">
        <is>
          <t>Roster</t>
        </is>
      </c>
    </row>
    <row r="2">
      <c r="A2" s="8" t="inlineStr">
        <is>
          <t>Every yellow cell is an input. Row 6 is an example — overwrite it with your first student. Student order here fixes the row order on every other sheet.</t>
        </is>
      </c>
    </row>
    <row r="3">
      <c r="A3" s="5">
        <f>"Students on roster: "&amp;COUNTA(C6:C155)</f>
        <v/>
      </c>
    </row>
    <row r="5">
      <c r="A5" s="15" t="inlineStr">
        <is>
          <t>Student ID</t>
        </is>
      </c>
      <c r="B5" s="15" t="inlineStr">
        <is>
          <t>Last Name</t>
        </is>
      </c>
      <c r="C5" s="15" t="inlineStr">
        <is>
          <t>First Name</t>
        </is>
      </c>
      <c r="D5" s="15" t="inlineStr">
        <is>
          <t>Class Period</t>
        </is>
      </c>
      <c r="E5" s="15" t="inlineStr">
        <is>
          <t>Form Order</t>
        </is>
      </c>
      <c r="F5" s="15" t="inlineStr">
        <is>
          <t>Accommodations</t>
        </is>
      </c>
      <c r="G5" s="15" t="inlineStr">
        <is>
          <t>EL</t>
        </is>
      </c>
      <c r="H5" s="15" t="inlineStr">
        <is>
          <t>SWD</t>
        </is>
      </c>
      <c r="I5" s="15" t="inlineStr">
        <is>
          <t>Gifted</t>
        </is>
      </c>
    </row>
    <row r="6">
      <c r="A6" s="25" t="inlineStr">
        <is>
          <t>7001</t>
        </is>
      </c>
      <c r="B6" s="25" t="inlineStr">
        <is>
          <t>Example</t>
        </is>
      </c>
      <c r="C6" s="25" t="inlineStr">
        <is>
          <t>Student</t>
        </is>
      </c>
      <c r="D6" s="10" t="inlineStr">
        <is>
          <t>1st</t>
        </is>
      </c>
      <c r="E6" s="10" t="inlineStr">
        <is>
          <t>A then B</t>
        </is>
      </c>
      <c r="F6" s="10" t="inlineStr">
        <is>
          <t>None</t>
        </is>
      </c>
      <c r="G6" s="10" t="inlineStr">
        <is>
          <t>N</t>
        </is>
      </c>
      <c r="H6" s="10" t="inlineStr">
        <is>
          <t>N</t>
        </is>
      </c>
      <c r="I6" s="10" t="inlineStr">
        <is>
          <t>N</t>
        </is>
      </c>
    </row>
    <row r="7">
      <c r="A7" s="25" t="n"/>
      <c r="B7" s="25" t="n"/>
      <c r="C7" s="25" t="n"/>
      <c r="D7" s="10" t="n"/>
      <c r="E7" s="10" t="n"/>
      <c r="F7" s="10" t="n"/>
      <c r="G7" s="10" t="n"/>
      <c r="H7" s="10" t="n"/>
      <c r="I7" s="10" t="n"/>
    </row>
    <row r="8">
      <c r="A8" s="25" t="n"/>
      <c r="B8" s="25" t="n"/>
      <c r="C8" s="25" t="n"/>
      <c r="D8" s="10" t="n"/>
      <c r="E8" s="10" t="n"/>
      <c r="F8" s="10" t="n"/>
      <c r="G8" s="10" t="n"/>
      <c r="H8" s="10" t="n"/>
      <c r="I8" s="10" t="n"/>
    </row>
    <row r="9">
      <c r="A9" s="25" t="n"/>
      <c r="B9" s="25" t="n"/>
      <c r="C9" s="25" t="n"/>
      <c r="D9" s="10" t="n"/>
      <c r="E9" s="10" t="n"/>
      <c r="F9" s="10" t="n"/>
      <c r="G9" s="10" t="n"/>
      <c r="H9" s="10" t="n"/>
      <c r="I9" s="10" t="n"/>
    </row>
    <row r="10">
      <c r="A10" s="25" t="n"/>
      <c r="B10" s="25" t="n"/>
      <c r="C10" s="25" t="n"/>
      <c r="D10" s="10" t="n"/>
      <c r="E10" s="10" t="n"/>
      <c r="F10" s="10" t="n"/>
      <c r="G10" s="10" t="n"/>
      <c r="H10" s="10" t="n"/>
      <c r="I10" s="10" t="n"/>
    </row>
    <row r="11">
      <c r="A11" s="25" t="n"/>
      <c r="B11" s="25" t="n"/>
      <c r="C11" s="25" t="n"/>
      <c r="D11" s="10" t="n"/>
      <c r="E11" s="10" t="n"/>
      <c r="F11" s="10" t="n"/>
      <c r="G11" s="10" t="n"/>
      <c r="H11" s="10" t="n"/>
      <c r="I11" s="10" t="n"/>
    </row>
    <row r="12">
      <c r="A12" s="25" t="n"/>
      <c r="B12" s="25" t="n"/>
      <c r="C12" s="25" t="n"/>
      <c r="D12" s="10" t="n"/>
      <c r="E12" s="10" t="n"/>
      <c r="F12" s="10" t="n"/>
      <c r="G12" s="10" t="n"/>
      <c r="H12" s="10" t="n"/>
      <c r="I12" s="10" t="n"/>
    </row>
    <row r="13">
      <c r="A13" s="25" t="n"/>
      <c r="B13" s="25" t="n"/>
      <c r="C13" s="25" t="n"/>
      <c r="D13" s="10" t="n"/>
      <c r="E13" s="10" t="n"/>
      <c r="F13" s="10" t="n"/>
      <c r="G13" s="10" t="n"/>
      <c r="H13" s="10" t="n"/>
      <c r="I13" s="10" t="n"/>
    </row>
    <row r="14">
      <c r="A14" s="25" t="n"/>
      <c r="B14" s="25" t="n"/>
      <c r="C14" s="25" t="n"/>
      <c r="D14" s="10" t="n"/>
      <c r="E14" s="10" t="n"/>
      <c r="F14" s="10" t="n"/>
      <c r="G14" s="10" t="n"/>
      <c r="H14" s="10" t="n"/>
      <c r="I14" s="10" t="n"/>
    </row>
    <row r="15">
      <c r="A15" s="25" t="n"/>
      <c r="B15" s="25" t="n"/>
      <c r="C15" s="25" t="n"/>
      <c r="D15" s="10" t="n"/>
      <c r="E15" s="10" t="n"/>
      <c r="F15" s="10" t="n"/>
      <c r="G15" s="10" t="n"/>
      <c r="H15" s="10" t="n"/>
      <c r="I15" s="10" t="n"/>
    </row>
    <row r="16">
      <c r="A16" s="25" t="n"/>
      <c r="B16" s="25" t="n"/>
      <c r="C16" s="25" t="n"/>
      <c r="D16" s="10" t="n"/>
      <c r="E16" s="10" t="n"/>
      <c r="F16" s="10" t="n"/>
      <c r="G16" s="10" t="n"/>
      <c r="H16" s="10" t="n"/>
      <c r="I16" s="10" t="n"/>
    </row>
    <row r="17">
      <c r="A17" s="25" t="n"/>
      <c r="B17" s="25" t="n"/>
      <c r="C17" s="25" t="n"/>
      <c r="D17" s="10" t="n"/>
      <c r="E17" s="10" t="n"/>
      <c r="F17" s="10" t="n"/>
      <c r="G17" s="10" t="n"/>
      <c r="H17" s="10" t="n"/>
      <c r="I17" s="10" t="n"/>
    </row>
    <row r="18">
      <c r="A18" s="25" t="n"/>
      <c r="B18" s="25" t="n"/>
      <c r="C18" s="25" t="n"/>
      <c r="D18" s="10" t="n"/>
      <c r="E18" s="10" t="n"/>
      <c r="F18" s="10" t="n"/>
      <c r="G18" s="10" t="n"/>
      <c r="H18" s="10" t="n"/>
      <c r="I18" s="10" t="n"/>
    </row>
    <row r="19">
      <c r="A19" s="25" t="n"/>
      <c r="B19" s="25" t="n"/>
      <c r="C19" s="25" t="n"/>
      <c r="D19" s="10" t="n"/>
      <c r="E19" s="10" t="n"/>
      <c r="F19" s="10" t="n"/>
      <c r="G19" s="10" t="n"/>
      <c r="H19" s="10" t="n"/>
      <c r="I19" s="10" t="n"/>
    </row>
    <row r="20">
      <c r="A20" s="25" t="n"/>
      <c r="B20" s="25" t="n"/>
      <c r="C20" s="25" t="n"/>
      <c r="D20" s="10" t="n"/>
      <c r="E20" s="10" t="n"/>
      <c r="F20" s="10" t="n"/>
      <c r="G20" s="10" t="n"/>
      <c r="H20" s="10" t="n"/>
      <c r="I20" s="10" t="n"/>
    </row>
    <row r="21">
      <c r="A21" s="25" t="n"/>
      <c r="B21" s="25" t="n"/>
      <c r="C21" s="25" t="n"/>
      <c r="D21" s="10" t="n"/>
      <c r="E21" s="10" t="n"/>
      <c r="F21" s="10" t="n"/>
      <c r="G21" s="10" t="n"/>
      <c r="H21" s="10" t="n"/>
      <c r="I21" s="10" t="n"/>
    </row>
    <row r="22">
      <c r="A22" s="25" t="n"/>
      <c r="B22" s="25" t="n"/>
      <c r="C22" s="25" t="n"/>
      <c r="D22" s="10" t="n"/>
      <c r="E22" s="10" t="n"/>
      <c r="F22" s="10" t="n"/>
      <c r="G22" s="10" t="n"/>
      <c r="H22" s="10" t="n"/>
      <c r="I22" s="10" t="n"/>
    </row>
    <row r="23">
      <c r="A23" s="25" t="n"/>
      <c r="B23" s="25" t="n"/>
      <c r="C23" s="25" t="n"/>
      <c r="D23" s="10" t="n"/>
      <c r="E23" s="10" t="n"/>
      <c r="F23" s="10" t="n"/>
      <c r="G23" s="10" t="n"/>
      <c r="H23" s="10" t="n"/>
      <c r="I23" s="10" t="n"/>
    </row>
    <row r="24">
      <c r="A24" s="25" t="n"/>
      <c r="B24" s="25" t="n"/>
      <c r="C24" s="25" t="n"/>
      <c r="D24" s="10" t="n"/>
      <c r="E24" s="10" t="n"/>
      <c r="F24" s="10" t="n"/>
      <c r="G24" s="10" t="n"/>
      <c r="H24" s="10" t="n"/>
      <c r="I24" s="10" t="n"/>
    </row>
    <row r="25">
      <c r="A25" s="25" t="n"/>
      <c r="B25" s="25" t="n"/>
      <c r="C25" s="25" t="n"/>
      <c r="D25" s="10" t="n"/>
      <c r="E25" s="10" t="n"/>
      <c r="F25" s="10" t="n"/>
      <c r="G25" s="10" t="n"/>
      <c r="H25" s="10" t="n"/>
      <c r="I25" s="10" t="n"/>
    </row>
    <row r="26">
      <c r="A26" s="25" t="n"/>
      <c r="B26" s="25" t="n"/>
      <c r="C26" s="25" t="n"/>
      <c r="D26" s="10" t="n"/>
      <c r="E26" s="10" t="n"/>
      <c r="F26" s="10" t="n"/>
      <c r="G26" s="10" t="n"/>
      <c r="H26" s="10" t="n"/>
      <c r="I26" s="10" t="n"/>
    </row>
    <row r="27">
      <c r="A27" s="25" t="n"/>
      <c r="B27" s="25" t="n"/>
      <c r="C27" s="25" t="n"/>
      <c r="D27" s="10" t="n"/>
      <c r="E27" s="10" t="n"/>
      <c r="F27" s="10" t="n"/>
      <c r="G27" s="10" t="n"/>
      <c r="H27" s="10" t="n"/>
      <c r="I27" s="10" t="n"/>
    </row>
    <row r="28">
      <c r="A28" s="25" t="n"/>
      <c r="B28" s="25" t="n"/>
      <c r="C28" s="25" t="n"/>
      <c r="D28" s="10" t="n"/>
      <c r="E28" s="10" t="n"/>
      <c r="F28" s="10" t="n"/>
      <c r="G28" s="10" t="n"/>
      <c r="H28" s="10" t="n"/>
      <c r="I28" s="10" t="n"/>
    </row>
    <row r="29">
      <c r="A29" s="25" t="n"/>
      <c r="B29" s="25" t="n"/>
      <c r="C29" s="25" t="n"/>
      <c r="D29" s="10" t="n"/>
      <c r="E29" s="10" t="n"/>
      <c r="F29" s="10" t="n"/>
      <c r="G29" s="10" t="n"/>
      <c r="H29" s="10" t="n"/>
      <c r="I29" s="10" t="n"/>
    </row>
    <row r="30">
      <c r="A30" s="25" t="n"/>
      <c r="B30" s="25" t="n"/>
      <c r="C30" s="25" t="n"/>
      <c r="D30" s="10" t="n"/>
      <c r="E30" s="10" t="n"/>
      <c r="F30" s="10" t="n"/>
      <c r="G30" s="10" t="n"/>
      <c r="H30" s="10" t="n"/>
      <c r="I30" s="10" t="n"/>
    </row>
    <row r="31">
      <c r="A31" s="25" t="n"/>
      <c r="B31" s="25" t="n"/>
      <c r="C31" s="25" t="n"/>
      <c r="D31" s="10" t="n"/>
      <c r="E31" s="10" t="n"/>
      <c r="F31" s="10" t="n"/>
      <c r="G31" s="10" t="n"/>
      <c r="H31" s="10" t="n"/>
      <c r="I31" s="10" t="n"/>
    </row>
    <row r="32">
      <c r="A32" s="25" t="n"/>
      <c r="B32" s="25" t="n"/>
      <c r="C32" s="25" t="n"/>
      <c r="D32" s="10" t="n"/>
      <c r="E32" s="10" t="n"/>
      <c r="F32" s="10" t="n"/>
      <c r="G32" s="10" t="n"/>
      <c r="H32" s="10" t="n"/>
      <c r="I32" s="10" t="n"/>
    </row>
    <row r="33">
      <c r="A33" s="25" t="n"/>
      <c r="B33" s="25" t="n"/>
      <c r="C33" s="25" t="n"/>
      <c r="D33" s="10" t="n"/>
      <c r="E33" s="10" t="n"/>
      <c r="F33" s="10" t="n"/>
      <c r="G33" s="10" t="n"/>
      <c r="H33" s="10" t="n"/>
      <c r="I33" s="10" t="n"/>
    </row>
    <row r="34">
      <c r="A34" s="25" t="n"/>
      <c r="B34" s="25" t="n"/>
      <c r="C34" s="25" t="n"/>
      <c r="D34" s="10" t="n"/>
      <c r="E34" s="10" t="n"/>
      <c r="F34" s="10" t="n"/>
      <c r="G34" s="10" t="n"/>
      <c r="H34" s="10" t="n"/>
      <c r="I34" s="10" t="n"/>
    </row>
    <row r="35">
      <c r="A35" s="25" t="n"/>
      <c r="B35" s="25" t="n"/>
      <c r="C35" s="25" t="n"/>
      <c r="D35" s="10" t="n"/>
      <c r="E35" s="10" t="n"/>
      <c r="F35" s="10" t="n"/>
      <c r="G35" s="10" t="n"/>
      <c r="H35" s="10" t="n"/>
      <c r="I35" s="10" t="n"/>
    </row>
    <row r="36">
      <c r="A36" s="25" t="n"/>
      <c r="B36" s="25" t="n"/>
      <c r="C36" s="25" t="n"/>
      <c r="D36" s="10" t="n"/>
      <c r="E36" s="10" t="n"/>
      <c r="F36" s="10" t="n"/>
      <c r="G36" s="10" t="n"/>
      <c r="H36" s="10" t="n"/>
      <c r="I36" s="10" t="n"/>
    </row>
    <row r="37">
      <c r="A37" s="25" t="n"/>
      <c r="B37" s="25" t="n"/>
      <c r="C37" s="25" t="n"/>
      <c r="D37" s="10" t="n"/>
      <c r="E37" s="10" t="n"/>
      <c r="F37" s="10" t="n"/>
      <c r="G37" s="10" t="n"/>
      <c r="H37" s="10" t="n"/>
      <c r="I37" s="10" t="n"/>
    </row>
    <row r="38">
      <c r="A38" s="25" t="n"/>
      <c r="B38" s="25" t="n"/>
      <c r="C38" s="25" t="n"/>
      <c r="D38" s="10" t="n"/>
      <c r="E38" s="10" t="n"/>
      <c r="F38" s="10" t="n"/>
      <c r="G38" s="10" t="n"/>
      <c r="H38" s="10" t="n"/>
      <c r="I38" s="10" t="n"/>
    </row>
    <row r="39">
      <c r="A39" s="25" t="n"/>
      <c r="B39" s="25" t="n"/>
      <c r="C39" s="25" t="n"/>
      <c r="D39" s="10" t="n"/>
      <c r="E39" s="10" t="n"/>
      <c r="F39" s="10" t="n"/>
      <c r="G39" s="10" t="n"/>
      <c r="H39" s="10" t="n"/>
      <c r="I39" s="10" t="n"/>
    </row>
    <row r="40">
      <c r="A40" s="25" t="n"/>
      <c r="B40" s="25" t="n"/>
      <c r="C40" s="25" t="n"/>
      <c r="D40" s="10" t="n"/>
      <c r="E40" s="10" t="n"/>
      <c r="F40" s="10" t="n"/>
      <c r="G40" s="10" t="n"/>
      <c r="H40" s="10" t="n"/>
      <c r="I40" s="10" t="n"/>
    </row>
    <row r="41">
      <c r="A41" s="25" t="n"/>
      <c r="B41" s="25" t="n"/>
      <c r="C41" s="25" t="n"/>
      <c r="D41" s="10" t="n"/>
      <c r="E41" s="10" t="n"/>
      <c r="F41" s="10" t="n"/>
      <c r="G41" s="10" t="n"/>
      <c r="H41" s="10" t="n"/>
      <c r="I41" s="10" t="n"/>
    </row>
    <row r="42">
      <c r="A42" s="25" t="n"/>
      <c r="B42" s="25" t="n"/>
      <c r="C42" s="25" t="n"/>
      <c r="D42" s="10" t="n"/>
      <c r="E42" s="10" t="n"/>
      <c r="F42" s="10" t="n"/>
      <c r="G42" s="10" t="n"/>
      <c r="H42" s="10" t="n"/>
      <c r="I42" s="10" t="n"/>
    </row>
    <row r="43">
      <c r="A43" s="25" t="n"/>
      <c r="B43" s="25" t="n"/>
      <c r="C43" s="25" t="n"/>
      <c r="D43" s="10" t="n"/>
      <c r="E43" s="10" t="n"/>
      <c r="F43" s="10" t="n"/>
      <c r="G43" s="10" t="n"/>
      <c r="H43" s="10" t="n"/>
      <c r="I43" s="10" t="n"/>
    </row>
    <row r="44">
      <c r="A44" s="25" t="n"/>
      <c r="B44" s="25" t="n"/>
      <c r="C44" s="25" t="n"/>
      <c r="D44" s="10" t="n"/>
      <c r="E44" s="10" t="n"/>
      <c r="F44" s="10" t="n"/>
      <c r="G44" s="10" t="n"/>
      <c r="H44" s="10" t="n"/>
      <c r="I44" s="10" t="n"/>
    </row>
    <row r="45">
      <c r="A45" s="25" t="n"/>
      <c r="B45" s="25" t="n"/>
      <c r="C45" s="25" t="n"/>
      <c r="D45" s="10" t="n"/>
      <c r="E45" s="10" t="n"/>
      <c r="F45" s="10" t="n"/>
      <c r="G45" s="10" t="n"/>
      <c r="H45" s="10" t="n"/>
      <c r="I45" s="10" t="n"/>
    </row>
    <row r="46">
      <c r="A46" s="25" t="n"/>
      <c r="B46" s="25" t="n"/>
      <c r="C46" s="25" t="n"/>
      <c r="D46" s="10" t="n"/>
      <c r="E46" s="10" t="n"/>
      <c r="F46" s="10" t="n"/>
      <c r="G46" s="10" t="n"/>
      <c r="H46" s="10" t="n"/>
      <c r="I46" s="10" t="n"/>
    </row>
    <row r="47">
      <c r="A47" s="25" t="n"/>
      <c r="B47" s="25" t="n"/>
      <c r="C47" s="25" t="n"/>
      <c r="D47" s="10" t="n"/>
      <c r="E47" s="10" t="n"/>
      <c r="F47" s="10" t="n"/>
      <c r="G47" s="10" t="n"/>
      <c r="H47" s="10" t="n"/>
      <c r="I47" s="10" t="n"/>
    </row>
    <row r="48">
      <c r="A48" s="25" t="n"/>
      <c r="B48" s="25" t="n"/>
      <c r="C48" s="25" t="n"/>
      <c r="D48" s="10" t="n"/>
      <c r="E48" s="10" t="n"/>
      <c r="F48" s="10" t="n"/>
      <c r="G48" s="10" t="n"/>
      <c r="H48" s="10" t="n"/>
      <c r="I48" s="10" t="n"/>
    </row>
    <row r="49">
      <c r="A49" s="25" t="n"/>
      <c r="B49" s="25" t="n"/>
      <c r="C49" s="25" t="n"/>
      <c r="D49" s="10" t="n"/>
      <c r="E49" s="10" t="n"/>
      <c r="F49" s="10" t="n"/>
      <c r="G49" s="10" t="n"/>
      <c r="H49" s="10" t="n"/>
      <c r="I49" s="10" t="n"/>
    </row>
    <row r="50">
      <c r="A50" s="25" t="n"/>
      <c r="B50" s="25" t="n"/>
      <c r="C50" s="25" t="n"/>
      <c r="D50" s="10" t="n"/>
      <c r="E50" s="10" t="n"/>
      <c r="F50" s="10" t="n"/>
      <c r="G50" s="10" t="n"/>
      <c r="H50" s="10" t="n"/>
      <c r="I50" s="10" t="n"/>
    </row>
    <row r="51">
      <c r="A51" s="25" t="n"/>
      <c r="B51" s="25" t="n"/>
      <c r="C51" s="25" t="n"/>
      <c r="D51" s="10" t="n"/>
      <c r="E51" s="10" t="n"/>
      <c r="F51" s="10" t="n"/>
      <c r="G51" s="10" t="n"/>
      <c r="H51" s="10" t="n"/>
      <c r="I51" s="10" t="n"/>
    </row>
    <row r="52">
      <c r="A52" s="25" t="n"/>
      <c r="B52" s="25" t="n"/>
      <c r="C52" s="25" t="n"/>
      <c r="D52" s="10" t="n"/>
      <c r="E52" s="10" t="n"/>
      <c r="F52" s="10" t="n"/>
      <c r="G52" s="10" t="n"/>
      <c r="H52" s="10" t="n"/>
      <c r="I52" s="10" t="n"/>
    </row>
    <row r="53">
      <c r="A53" s="25" t="n"/>
      <c r="B53" s="25" t="n"/>
      <c r="C53" s="25" t="n"/>
      <c r="D53" s="10" t="n"/>
      <c r="E53" s="10" t="n"/>
      <c r="F53" s="10" t="n"/>
      <c r="G53" s="10" t="n"/>
      <c r="H53" s="10" t="n"/>
      <c r="I53" s="10" t="n"/>
    </row>
    <row r="54">
      <c r="A54" s="25" t="n"/>
      <c r="B54" s="25" t="n"/>
      <c r="C54" s="25" t="n"/>
      <c r="D54" s="10" t="n"/>
      <c r="E54" s="10" t="n"/>
      <c r="F54" s="10" t="n"/>
      <c r="G54" s="10" t="n"/>
      <c r="H54" s="10" t="n"/>
      <c r="I54" s="10" t="n"/>
    </row>
    <row r="55">
      <c r="A55" s="25" t="n"/>
      <c r="B55" s="25" t="n"/>
      <c r="C55" s="25" t="n"/>
      <c r="D55" s="10" t="n"/>
      <c r="E55" s="10" t="n"/>
      <c r="F55" s="10" t="n"/>
      <c r="G55" s="10" t="n"/>
      <c r="H55" s="10" t="n"/>
      <c r="I55" s="10" t="n"/>
    </row>
    <row r="56">
      <c r="A56" s="25" t="n"/>
      <c r="B56" s="25" t="n"/>
      <c r="C56" s="25" t="n"/>
      <c r="D56" s="10" t="n"/>
      <c r="E56" s="10" t="n"/>
      <c r="F56" s="10" t="n"/>
      <c r="G56" s="10" t="n"/>
      <c r="H56" s="10" t="n"/>
      <c r="I56" s="10" t="n"/>
    </row>
    <row r="57">
      <c r="A57" s="25" t="n"/>
      <c r="B57" s="25" t="n"/>
      <c r="C57" s="25" t="n"/>
      <c r="D57" s="10" t="n"/>
      <c r="E57" s="10" t="n"/>
      <c r="F57" s="10" t="n"/>
      <c r="G57" s="10" t="n"/>
      <c r="H57" s="10" t="n"/>
      <c r="I57" s="10" t="n"/>
    </row>
    <row r="58">
      <c r="A58" s="25" t="n"/>
      <c r="B58" s="25" t="n"/>
      <c r="C58" s="25" t="n"/>
      <c r="D58" s="10" t="n"/>
      <c r="E58" s="10" t="n"/>
      <c r="F58" s="10" t="n"/>
      <c r="G58" s="10" t="n"/>
      <c r="H58" s="10" t="n"/>
      <c r="I58" s="10" t="n"/>
    </row>
    <row r="59">
      <c r="A59" s="25" t="n"/>
      <c r="B59" s="25" t="n"/>
      <c r="C59" s="25" t="n"/>
      <c r="D59" s="10" t="n"/>
      <c r="E59" s="10" t="n"/>
      <c r="F59" s="10" t="n"/>
      <c r="G59" s="10" t="n"/>
      <c r="H59" s="10" t="n"/>
      <c r="I59" s="10" t="n"/>
    </row>
    <row r="60">
      <c r="A60" s="25" t="n"/>
      <c r="B60" s="25" t="n"/>
      <c r="C60" s="25" t="n"/>
      <c r="D60" s="10" t="n"/>
      <c r="E60" s="10" t="n"/>
      <c r="F60" s="10" t="n"/>
      <c r="G60" s="10" t="n"/>
      <c r="H60" s="10" t="n"/>
      <c r="I60" s="10" t="n"/>
    </row>
    <row r="61">
      <c r="A61" s="25" t="n"/>
      <c r="B61" s="25" t="n"/>
      <c r="C61" s="25" t="n"/>
      <c r="D61" s="10" t="n"/>
      <c r="E61" s="10" t="n"/>
      <c r="F61" s="10" t="n"/>
      <c r="G61" s="10" t="n"/>
      <c r="H61" s="10" t="n"/>
      <c r="I61" s="10" t="n"/>
    </row>
    <row r="62">
      <c r="A62" s="25" t="n"/>
      <c r="B62" s="25" t="n"/>
      <c r="C62" s="25" t="n"/>
      <c r="D62" s="10" t="n"/>
      <c r="E62" s="10" t="n"/>
      <c r="F62" s="10" t="n"/>
      <c r="G62" s="10" t="n"/>
      <c r="H62" s="10" t="n"/>
      <c r="I62" s="10" t="n"/>
    </row>
    <row r="63">
      <c r="A63" s="25" t="n"/>
      <c r="B63" s="25" t="n"/>
      <c r="C63" s="25" t="n"/>
      <c r="D63" s="10" t="n"/>
      <c r="E63" s="10" t="n"/>
      <c r="F63" s="10" t="n"/>
      <c r="G63" s="10" t="n"/>
      <c r="H63" s="10" t="n"/>
      <c r="I63" s="10" t="n"/>
    </row>
    <row r="64">
      <c r="A64" s="25" t="n"/>
      <c r="B64" s="25" t="n"/>
      <c r="C64" s="25" t="n"/>
      <c r="D64" s="10" t="n"/>
      <c r="E64" s="10" t="n"/>
      <c r="F64" s="10" t="n"/>
      <c r="G64" s="10" t="n"/>
      <c r="H64" s="10" t="n"/>
      <c r="I64" s="10" t="n"/>
    </row>
    <row r="65">
      <c r="A65" s="25" t="n"/>
      <c r="B65" s="25" t="n"/>
      <c r="C65" s="25" t="n"/>
      <c r="D65" s="10" t="n"/>
      <c r="E65" s="10" t="n"/>
      <c r="F65" s="10" t="n"/>
      <c r="G65" s="10" t="n"/>
      <c r="H65" s="10" t="n"/>
      <c r="I65" s="10" t="n"/>
    </row>
    <row r="66">
      <c r="A66" s="25" t="n"/>
      <c r="B66" s="25" t="n"/>
      <c r="C66" s="25" t="n"/>
      <c r="D66" s="10" t="n"/>
      <c r="E66" s="10" t="n"/>
      <c r="F66" s="10" t="n"/>
      <c r="G66" s="10" t="n"/>
      <c r="H66" s="10" t="n"/>
      <c r="I66" s="10" t="n"/>
    </row>
    <row r="67">
      <c r="A67" s="25" t="n"/>
      <c r="B67" s="25" t="n"/>
      <c r="C67" s="25" t="n"/>
      <c r="D67" s="10" t="n"/>
      <c r="E67" s="10" t="n"/>
      <c r="F67" s="10" t="n"/>
      <c r="G67" s="10" t="n"/>
      <c r="H67" s="10" t="n"/>
      <c r="I67" s="10" t="n"/>
    </row>
    <row r="68">
      <c r="A68" s="25" t="n"/>
      <c r="B68" s="25" t="n"/>
      <c r="C68" s="25" t="n"/>
      <c r="D68" s="10" t="n"/>
      <c r="E68" s="10" t="n"/>
      <c r="F68" s="10" t="n"/>
      <c r="G68" s="10" t="n"/>
      <c r="H68" s="10" t="n"/>
      <c r="I68" s="10" t="n"/>
    </row>
    <row r="69">
      <c r="A69" s="25" t="n"/>
      <c r="B69" s="25" t="n"/>
      <c r="C69" s="25" t="n"/>
      <c r="D69" s="10" t="n"/>
      <c r="E69" s="10" t="n"/>
      <c r="F69" s="10" t="n"/>
      <c r="G69" s="10" t="n"/>
      <c r="H69" s="10" t="n"/>
      <c r="I69" s="10" t="n"/>
    </row>
    <row r="70">
      <c r="A70" s="25" t="n"/>
      <c r="B70" s="25" t="n"/>
      <c r="C70" s="25" t="n"/>
      <c r="D70" s="10" t="n"/>
      <c r="E70" s="10" t="n"/>
      <c r="F70" s="10" t="n"/>
      <c r="G70" s="10" t="n"/>
      <c r="H70" s="10" t="n"/>
      <c r="I70" s="10" t="n"/>
    </row>
    <row r="71">
      <c r="A71" s="25" t="n"/>
      <c r="B71" s="25" t="n"/>
      <c r="C71" s="25" t="n"/>
      <c r="D71" s="10" t="n"/>
      <c r="E71" s="10" t="n"/>
      <c r="F71" s="10" t="n"/>
      <c r="G71" s="10" t="n"/>
      <c r="H71" s="10" t="n"/>
      <c r="I71" s="10" t="n"/>
    </row>
    <row r="72">
      <c r="A72" s="25" t="n"/>
      <c r="B72" s="25" t="n"/>
      <c r="C72" s="25" t="n"/>
      <c r="D72" s="10" t="n"/>
      <c r="E72" s="10" t="n"/>
      <c r="F72" s="10" t="n"/>
      <c r="G72" s="10" t="n"/>
      <c r="H72" s="10" t="n"/>
      <c r="I72" s="10" t="n"/>
    </row>
    <row r="73">
      <c r="A73" s="25" t="n"/>
      <c r="B73" s="25" t="n"/>
      <c r="C73" s="25" t="n"/>
      <c r="D73" s="10" t="n"/>
      <c r="E73" s="10" t="n"/>
      <c r="F73" s="10" t="n"/>
      <c r="G73" s="10" t="n"/>
      <c r="H73" s="10" t="n"/>
      <c r="I73" s="10" t="n"/>
    </row>
    <row r="74">
      <c r="A74" s="25" t="n"/>
      <c r="B74" s="25" t="n"/>
      <c r="C74" s="25" t="n"/>
      <c r="D74" s="10" t="n"/>
      <c r="E74" s="10" t="n"/>
      <c r="F74" s="10" t="n"/>
      <c r="G74" s="10" t="n"/>
      <c r="H74" s="10" t="n"/>
      <c r="I74" s="10" t="n"/>
    </row>
    <row r="75">
      <c r="A75" s="25" t="n"/>
      <c r="B75" s="25" t="n"/>
      <c r="C75" s="25" t="n"/>
      <c r="D75" s="10" t="n"/>
      <c r="E75" s="10" t="n"/>
      <c r="F75" s="10" t="n"/>
      <c r="G75" s="10" t="n"/>
      <c r="H75" s="10" t="n"/>
      <c r="I75" s="10" t="n"/>
    </row>
    <row r="76">
      <c r="A76" s="25" t="n"/>
      <c r="B76" s="25" t="n"/>
      <c r="C76" s="25" t="n"/>
      <c r="D76" s="10" t="n"/>
      <c r="E76" s="10" t="n"/>
      <c r="F76" s="10" t="n"/>
      <c r="G76" s="10" t="n"/>
      <c r="H76" s="10" t="n"/>
      <c r="I76" s="10" t="n"/>
    </row>
    <row r="77">
      <c r="A77" s="25" t="n"/>
      <c r="B77" s="25" t="n"/>
      <c r="C77" s="25" t="n"/>
      <c r="D77" s="10" t="n"/>
      <c r="E77" s="10" t="n"/>
      <c r="F77" s="10" t="n"/>
      <c r="G77" s="10" t="n"/>
      <c r="H77" s="10" t="n"/>
      <c r="I77" s="10" t="n"/>
    </row>
    <row r="78">
      <c r="A78" s="25" t="n"/>
      <c r="B78" s="25" t="n"/>
      <c r="C78" s="25" t="n"/>
      <c r="D78" s="10" t="n"/>
      <c r="E78" s="10" t="n"/>
      <c r="F78" s="10" t="n"/>
      <c r="G78" s="10" t="n"/>
      <c r="H78" s="10" t="n"/>
      <c r="I78" s="10" t="n"/>
    </row>
    <row r="79">
      <c r="A79" s="25" t="n"/>
      <c r="B79" s="25" t="n"/>
      <c r="C79" s="25" t="n"/>
      <c r="D79" s="10" t="n"/>
      <c r="E79" s="10" t="n"/>
      <c r="F79" s="10" t="n"/>
      <c r="G79" s="10" t="n"/>
      <c r="H79" s="10" t="n"/>
      <c r="I79" s="10" t="n"/>
    </row>
    <row r="80">
      <c r="A80" s="25" t="n"/>
      <c r="B80" s="25" t="n"/>
      <c r="C80" s="25" t="n"/>
      <c r="D80" s="10" t="n"/>
      <c r="E80" s="10" t="n"/>
      <c r="F80" s="10" t="n"/>
      <c r="G80" s="10" t="n"/>
      <c r="H80" s="10" t="n"/>
      <c r="I80" s="10" t="n"/>
    </row>
    <row r="81">
      <c r="A81" s="25" t="n"/>
      <c r="B81" s="25" t="n"/>
      <c r="C81" s="25" t="n"/>
      <c r="D81" s="10" t="n"/>
      <c r="E81" s="10" t="n"/>
      <c r="F81" s="10" t="n"/>
      <c r="G81" s="10" t="n"/>
      <c r="H81" s="10" t="n"/>
      <c r="I81" s="10" t="n"/>
    </row>
    <row r="82">
      <c r="A82" s="25" t="n"/>
      <c r="B82" s="25" t="n"/>
      <c r="C82" s="25" t="n"/>
      <c r="D82" s="10" t="n"/>
      <c r="E82" s="10" t="n"/>
      <c r="F82" s="10" t="n"/>
      <c r="G82" s="10" t="n"/>
      <c r="H82" s="10" t="n"/>
      <c r="I82" s="10" t="n"/>
    </row>
    <row r="83">
      <c r="A83" s="25" t="n"/>
      <c r="B83" s="25" t="n"/>
      <c r="C83" s="25" t="n"/>
      <c r="D83" s="10" t="n"/>
      <c r="E83" s="10" t="n"/>
      <c r="F83" s="10" t="n"/>
      <c r="G83" s="10" t="n"/>
      <c r="H83" s="10" t="n"/>
      <c r="I83" s="10" t="n"/>
    </row>
    <row r="84">
      <c r="A84" s="25" t="n"/>
      <c r="B84" s="25" t="n"/>
      <c r="C84" s="25" t="n"/>
      <c r="D84" s="10" t="n"/>
      <c r="E84" s="10" t="n"/>
      <c r="F84" s="10" t="n"/>
      <c r="G84" s="10" t="n"/>
      <c r="H84" s="10" t="n"/>
      <c r="I84" s="10" t="n"/>
    </row>
    <row r="85">
      <c r="A85" s="25" t="n"/>
      <c r="B85" s="25" t="n"/>
      <c r="C85" s="25" t="n"/>
      <c r="D85" s="10" t="n"/>
      <c r="E85" s="10" t="n"/>
      <c r="F85" s="10" t="n"/>
      <c r="G85" s="10" t="n"/>
      <c r="H85" s="10" t="n"/>
      <c r="I85" s="10" t="n"/>
    </row>
    <row r="86">
      <c r="A86" s="25" t="n"/>
      <c r="B86" s="25" t="n"/>
      <c r="C86" s="25" t="n"/>
      <c r="D86" s="10" t="n"/>
      <c r="E86" s="10" t="n"/>
      <c r="F86" s="10" t="n"/>
      <c r="G86" s="10" t="n"/>
      <c r="H86" s="10" t="n"/>
      <c r="I86" s="10" t="n"/>
    </row>
    <row r="87">
      <c r="A87" s="25" t="n"/>
      <c r="B87" s="25" t="n"/>
      <c r="C87" s="25" t="n"/>
      <c r="D87" s="10" t="n"/>
      <c r="E87" s="10" t="n"/>
      <c r="F87" s="10" t="n"/>
      <c r="G87" s="10" t="n"/>
      <c r="H87" s="10" t="n"/>
      <c r="I87" s="10" t="n"/>
    </row>
    <row r="88">
      <c r="A88" s="25" t="n"/>
      <c r="B88" s="25" t="n"/>
      <c r="C88" s="25" t="n"/>
      <c r="D88" s="10" t="n"/>
      <c r="E88" s="10" t="n"/>
      <c r="F88" s="10" t="n"/>
      <c r="G88" s="10" t="n"/>
      <c r="H88" s="10" t="n"/>
      <c r="I88" s="10" t="n"/>
    </row>
    <row r="89">
      <c r="A89" s="25" t="n"/>
      <c r="B89" s="25" t="n"/>
      <c r="C89" s="25" t="n"/>
      <c r="D89" s="10" t="n"/>
      <c r="E89" s="10" t="n"/>
      <c r="F89" s="10" t="n"/>
      <c r="G89" s="10" t="n"/>
      <c r="H89" s="10" t="n"/>
      <c r="I89" s="10" t="n"/>
    </row>
    <row r="90">
      <c r="A90" s="25" t="n"/>
      <c r="B90" s="25" t="n"/>
      <c r="C90" s="25" t="n"/>
      <c r="D90" s="10" t="n"/>
      <c r="E90" s="10" t="n"/>
      <c r="F90" s="10" t="n"/>
      <c r="G90" s="10" t="n"/>
      <c r="H90" s="10" t="n"/>
      <c r="I90" s="10" t="n"/>
    </row>
    <row r="91">
      <c r="A91" s="25" t="n"/>
      <c r="B91" s="25" t="n"/>
      <c r="C91" s="25" t="n"/>
      <c r="D91" s="10" t="n"/>
      <c r="E91" s="10" t="n"/>
      <c r="F91" s="10" t="n"/>
      <c r="G91" s="10" t="n"/>
      <c r="H91" s="10" t="n"/>
      <c r="I91" s="10" t="n"/>
    </row>
    <row r="92">
      <c r="A92" s="25" t="n"/>
      <c r="B92" s="25" t="n"/>
      <c r="C92" s="25" t="n"/>
      <c r="D92" s="10" t="n"/>
      <c r="E92" s="10" t="n"/>
      <c r="F92" s="10" t="n"/>
      <c r="G92" s="10" t="n"/>
      <c r="H92" s="10" t="n"/>
      <c r="I92" s="10" t="n"/>
    </row>
    <row r="93">
      <c r="A93" s="25" t="n"/>
      <c r="B93" s="25" t="n"/>
      <c r="C93" s="25" t="n"/>
      <c r="D93" s="10" t="n"/>
      <c r="E93" s="10" t="n"/>
      <c r="F93" s="10" t="n"/>
      <c r="G93" s="10" t="n"/>
      <c r="H93" s="10" t="n"/>
      <c r="I93" s="10" t="n"/>
    </row>
    <row r="94">
      <c r="A94" s="25" t="n"/>
      <c r="B94" s="25" t="n"/>
      <c r="C94" s="25" t="n"/>
      <c r="D94" s="10" t="n"/>
      <c r="E94" s="10" t="n"/>
      <c r="F94" s="10" t="n"/>
      <c r="G94" s="10" t="n"/>
      <c r="H94" s="10" t="n"/>
      <c r="I94" s="10" t="n"/>
    </row>
    <row r="95">
      <c r="A95" s="25" t="n"/>
      <c r="B95" s="25" t="n"/>
      <c r="C95" s="25" t="n"/>
      <c r="D95" s="10" t="n"/>
      <c r="E95" s="10" t="n"/>
      <c r="F95" s="10" t="n"/>
      <c r="G95" s="10" t="n"/>
      <c r="H95" s="10" t="n"/>
      <c r="I95" s="10" t="n"/>
    </row>
    <row r="96">
      <c r="A96" s="25" t="n"/>
      <c r="B96" s="25" t="n"/>
      <c r="C96" s="25" t="n"/>
      <c r="D96" s="10" t="n"/>
      <c r="E96" s="10" t="n"/>
      <c r="F96" s="10" t="n"/>
      <c r="G96" s="10" t="n"/>
      <c r="H96" s="10" t="n"/>
      <c r="I96" s="10" t="n"/>
    </row>
    <row r="97">
      <c r="A97" s="25" t="n"/>
      <c r="B97" s="25" t="n"/>
      <c r="C97" s="25" t="n"/>
      <c r="D97" s="10" t="n"/>
      <c r="E97" s="10" t="n"/>
      <c r="F97" s="10" t="n"/>
      <c r="G97" s="10" t="n"/>
      <c r="H97" s="10" t="n"/>
      <c r="I97" s="10" t="n"/>
    </row>
    <row r="98">
      <c r="A98" s="25" t="n"/>
      <c r="B98" s="25" t="n"/>
      <c r="C98" s="25" t="n"/>
      <c r="D98" s="10" t="n"/>
      <c r="E98" s="10" t="n"/>
      <c r="F98" s="10" t="n"/>
      <c r="G98" s="10" t="n"/>
      <c r="H98" s="10" t="n"/>
      <c r="I98" s="10" t="n"/>
    </row>
    <row r="99">
      <c r="A99" s="25" t="n"/>
      <c r="B99" s="25" t="n"/>
      <c r="C99" s="25" t="n"/>
      <c r="D99" s="10" t="n"/>
      <c r="E99" s="10" t="n"/>
      <c r="F99" s="10" t="n"/>
      <c r="G99" s="10" t="n"/>
      <c r="H99" s="10" t="n"/>
      <c r="I99" s="10" t="n"/>
    </row>
    <row r="100">
      <c r="A100" s="25" t="n"/>
      <c r="B100" s="25" t="n"/>
      <c r="C100" s="25" t="n"/>
      <c r="D100" s="10" t="n"/>
      <c r="E100" s="10" t="n"/>
      <c r="F100" s="10" t="n"/>
      <c r="G100" s="10" t="n"/>
      <c r="H100" s="10" t="n"/>
      <c r="I100" s="10" t="n"/>
    </row>
    <row r="101">
      <c r="A101" s="25" t="n"/>
      <c r="B101" s="25" t="n"/>
      <c r="C101" s="25" t="n"/>
      <c r="D101" s="10" t="n"/>
      <c r="E101" s="10" t="n"/>
      <c r="F101" s="10" t="n"/>
      <c r="G101" s="10" t="n"/>
      <c r="H101" s="10" t="n"/>
      <c r="I101" s="10" t="n"/>
    </row>
    <row r="102">
      <c r="A102" s="25" t="n"/>
      <c r="B102" s="25" t="n"/>
      <c r="C102" s="25" t="n"/>
      <c r="D102" s="10" t="n"/>
      <c r="E102" s="10" t="n"/>
      <c r="F102" s="10" t="n"/>
      <c r="G102" s="10" t="n"/>
      <c r="H102" s="10" t="n"/>
      <c r="I102" s="10" t="n"/>
    </row>
    <row r="103">
      <c r="A103" s="25" t="n"/>
      <c r="B103" s="25" t="n"/>
      <c r="C103" s="25" t="n"/>
      <c r="D103" s="10" t="n"/>
      <c r="E103" s="10" t="n"/>
      <c r="F103" s="10" t="n"/>
      <c r="G103" s="10" t="n"/>
      <c r="H103" s="10" t="n"/>
      <c r="I103" s="10" t="n"/>
    </row>
    <row r="104">
      <c r="A104" s="25" t="n"/>
      <c r="B104" s="25" t="n"/>
      <c r="C104" s="25" t="n"/>
      <c r="D104" s="10" t="n"/>
      <c r="E104" s="10" t="n"/>
      <c r="F104" s="10" t="n"/>
      <c r="G104" s="10" t="n"/>
      <c r="H104" s="10" t="n"/>
      <c r="I104" s="10" t="n"/>
    </row>
    <row r="105">
      <c r="A105" s="25" t="n"/>
      <c r="B105" s="25" t="n"/>
      <c r="C105" s="25" t="n"/>
      <c r="D105" s="10" t="n"/>
      <c r="E105" s="10" t="n"/>
      <c r="F105" s="10" t="n"/>
      <c r="G105" s="10" t="n"/>
      <c r="H105" s="10" t="n"/>
      <c r="I105" s="10" t="n"/>
    </row>
    <row r="106">
      <c r="A106" s="25" t="n"/>
      <c r="B106" s="25" t="n"/>
      <c r="C106" s="25" t="n"/>
      <c r="D106" s="10" t="n"/>
      <c r="E106" s="10" t="n"/>
      <c r="F106" s="10" t="n"/>
      <c r="G106" s="10" t="n"/>
      <c r="H106" s="10" t="n"/>
      <c r="I106" s="10" t="n"/>
    </row>
    <row r="107">
      <c r="A107" s="25" t="n"/>
      <c r="B107" s="25" t="n"/>
      <c r="C107" s="25" t="n"/>
      <c r="D107" s="10" t="n"/>
      <c r="E107" s="10" t="n"/>
      <c r="F107" s="10" t="n"/>
      <c r="G107" s="10" t="n"/>
      <c r="H107" s="10" t="n"/>
      <c r="I107" s="10" t="n"/>
    </row>
    <row r="108">
      <c r="A108" s="25" t="n"/>
      <c r="B108" s="25" t="n"/>
      <c r="C108" s="25" t="n"/>
      <c r="D108" s="10" t="n"/>
      <c r="E108" s="10" t="n"/>
      <c r="F108" s="10" t="n"/>
      <c r="G108" s="10" t="n"/>
      <c r="H108" s="10" t="n"/>
      <c r="I108" s="10" t="n"/>
    </row>
    <row r="109">
      <c r="A109" s="25" t="n"/>
      <c r="B109" s="25" t="n"/>
      <c r="C109" s="25" t="n"/>
      <c r="D109" s="10" t="n"/>
      <c r="E109" s="10" t="n"/>
      <c r="F109" s="10" t="n"/>
      <c r="G109" s="10" t="n"/>
      <c r="H109" s="10" t="n"/>
      <c r="I109" s="10" t="n"/>
    </row>
    <row r="110">
      <c r="A110" s="25" t="n"/>
      <c r="B110" s="25" t="n"/>
      <c r="C110" s="25" t="n"/>
      <c r="D110" s="10" t="n"/>
      <c r="E110" s="10" t="n"/>
      <c r="F110" s="10" t="n"/>
      <c r="G110" s="10" t="n"/>
      <c r="H110" s="10" t="n"/>
      <c r="I110" s="10" t="n"/>
    </row>
    <row r="111">
      <c r="A111" s="25" t="n"/>
      <c r="B111" s="25" t="n"/>
      <c r="C111" s="25" t="n"/>
      <c r="D111" s="10" t="n"/>
      <c r="E111" s="10" t="n"/>
      <c r="F111" s="10" t="n"/>
      <c r="G111" s="10" t="n"/>
      <c r="H111" s="10" t="n"/>
      <c r="I111" s="10" t="n"/>
    </row>
    <row r="112">
      <c r="A112" s="25" t="n"/>
      <c r="B112" s="25" t="n"/>
      <c r="C112" s="25" t="n"/>
      <c r="D112" s="10" t="n"/>
      <c r="E112" s="10" t="n"/>
      <c r="F112" s="10" t="n"/>
      <c r="G112" s="10" t="n"/>
      <c r="H112" s="10" t="n"/>
      <c r="I112" s="10" t="n"/>
    </row>
    <row r="113">
      <c r="A113" s="25" t="n"/>
      <c r="B113" s="25" t="n"/>
      <c r="C113" s="25" t="n"/>
      <c r="D113" s="10" t="n"/>
      <c r="E113" s="10" t="n"/>
      <c r="F113" s="10" t="n"/>
      <c r="G113" s="10" t="n"/>
      <c r="H113" s="10" t="n"/>
      <c r="I113" s="10" t="n"/>
    </row>
    <row r="114">
      <c r="A114" s="25" t="n"/>
      <c r="B114" s="25" t="n"/>
      <c r="C114" s="25" t="n"/>
      <c r="D114" s="10" t="n"/>
      <c r="E114" s="10" t="n"/>
      <c r="F114" s="10" t="n"/>
      <c r="G114" s="10" t="n"/>
      <c r="H114" s="10" t="n"/>
      <c r="I114" s="10" t="n"/>
    </row>
    <row r="115">
      <c r="A115" s="25" t="n"/>
      <c r="B115" s="25" t="n"/>
      <c r="C115" s="25" t="n"/>
      <c r="D115" s="10" t="n"/>
      <c r="E115" s="10" t="n"/>
      <c r="F115" s="10" t="n"/>
      <c r="G115" s="10" t="n"/>
      <c r="H115" s="10" t="n"/>
      <c r="I115" s="10" t="n"/>
    </row>
    <row r="116">
      <c r="A116" s="25" t="n"/>
      <c r="B116" s="25" t="n"/>
      <c r="C116" s="25" t="n"/>
      <c r="D116" s="10" t="n"/>
      <c r="E116" s="10" t="n"/>
      <c r="F116" s="10" t="n"/>
      <c r="G116" s="10" t="n"/>
      <c r="H116" s="10" t="n"/>
      <c r="I116" s="10" t="n"/>
    </row>
    <row r="117">
      <c r="A117" s="25" t="n"/>
      <c r="B117" s="25" t="n"/>
      <c r="C117" s="25" t="n"/>
      <c r="D117" s="10" t="n"/>
      <c r="E117" s="10" t="n"/>
      <c r="F117" s="10" t="n"/>
      <c r="G117" s="10" t="n"/>
      <c r="H117" s="10" t="n"/>
      <c r="I117" s="10" t="n"/>
    </row>
    <row r="118">
      <c r="A118" s="25" t="n"/>
      <c r="B118" s="25" t="n"/>
      <c r="C118" s="25" t="n"/>
      <c r="D118" s="10" t="n"/>
      <c r="E118" s="10" t="n"/>
      <c r="F118" s="10" t="n"/>
      <c r="G118" s="10" t="n"/>
      <c r="H118" s="10" t="n"/>
      <c r="I118" s="10" t="n"/>
    </row>
    <row r="119">
      <c r="A119" s="25" t="n"/>
      <c r="B119" s="25" t="n"/>
      <c r="C119" s="25" t="n"/>
      <c r="D119" s="10" t="n"/>
      <c r="E119" s="10" t="n"/>
      <c r="F119" s="10" t="n"/>
      <c r="G119" s="10" t="n"/>
      <c r="H119" s="10" t="n"/>
      <c r="I119" s="10" t="n"/>
    </row>
    <row r="120">
      <c r="A120" s="25" t="n"/>
      <c r="B120" s="25" t="n"/>
      <c r="C120" s="25" t="n"/>
      <c r="D120" s="10" t="n"/>
      <c r="E120" s="10" t="n"/>
      <c r="F120" s="10" t="n"/>
      <c r="G120" s="10" t="n"/>
      <c r="H120" s="10" t="n"/>
      <c r="I120" s="10" t="n"/>
    </row>
    <row r="121">
      <c r="A121" s="25" t="n"/>
      <c r="B121" s="25" t="n"/>
      <c r="C121" s="25" t="n"/>
      <c r="D121" s="10" t="n"/>
      <c r="E121" s="10" t="n"/>
      <c r="F121" s="10" t="n"/>
      <c r="G121" s="10" t="n"/>
      <c r="H121" s="10" t="n"/>
      <c r="I121" s="10" t="n"/>
    </row>
    <row r="122">
      <c r="A122" s="25" t="n"/>
      <c r="B122" s="25" t="n"/>
      <c r="C122" s="25" t="n"/>
      <c r="D122" s="10" t="n"/>
      <c r="E122" s="10" t="n"/>
      <c r="F122" s="10" t="n"/>
      <c r="G122" s="10" t="n"/>
      <c r="H122" s="10" t="n"/>
      <c r="I122" s="10" t="n"/>
    </row>
    <row r="123">
      <c r="A123" s="25" t="n"/>
      <c r="B123" s="25" t="n"/>
      <c r="C123" s="25" t="n"/>
      <c r="D123" s="10" t="n"/>
      <c r="E123" s="10" t="n"/>
      <c r="F123" s="10" t="n"/>
      <c r="G123" s="10" t="n"/>
      <c r="H123" s="10" t="n"/>
      <c r="I123" s="10" t="n"/>
    </row>
    <row r="124">
      <c r="A124" s="25" t="n"/>
      <c r="B124" s="25" t="n"/>
      <c r="C124" s="25" t="n"/>
      <c r="D124" s="10" t="n"/>
      <c r="E124" s="10" t="n"/>
      <c r="F124" s="10" t="n"/>
      <c r="G124" s="10" t="n"/>
      <c r="H124" s="10" t="n"/>
      <c r="I124" s="10" t="n"/>
    </row>
    <row r="125">
      <c r="A125" s="25" t="n"/>
      <c r="B125" s="25" t="n"/>
      <c r="C125" s="25" t="n"/>
      <c r="D125" s="10" t="n"/>
      <c r="E125" s="10" t="n"/>
      <c r="F125" s="10" t="n"/>
      <c r="G125" s="10" t="n"/>
      <c r="H125" s="10" t="n"/>
      <c r="I125" s="10" t="n"/>
    </row>
    <row r="126">
      <c r="A126" s="25" t="n"/>
      <c r="B126" s="25" t="n"/>
      <c r="C126" s="25" t="n"/>
      <c r="D126" s="10" t="n"/>
      <c r="E126" s="10" t="n"/>
      <c r="F126" s="10" t="n"/>
      <c r="G126" s="10" t="n"/>
      <c r="H126" s="10" t="n"/>
      <c r="I126" s="10" t="n"/>
    </row>
    <row r="127">
      <c r="A127" s="25" t="n"/>
      <c r="B127" s="25" t="n"/>
      <c r="C127" s="25" t="n"/>
      <c r="D127" s="10" t="n"/>
      <c r="E127" s="10" t="n"/>
      <c r="F127" s="10" t="n"/>
      <c r="G127" s="10" t="n"/>
      <c r="H127" s="10" t="n"/>
      <c r="I127" s="10" t="n"/>
    </row>
    <row r="128">
      <c r="A128" s="25" t="n"/>
      <c r="B128" s="25" t="n"/>
      <c r="C128" s="25" t="n"/>
      <c r="D128" s="10" t="n"/>
      <c r="E128" s="10" t="n"/>
      <c r="F128" s="10" t="n"/>
      <c r="G128" s="10" t="n"/>
      <c r="H128" s="10" t="n"/>
      <c r="I128" s="10" t="n"/>
    </row>
    <row r="129">
      <c r="A129" s="25" t="n"/>
      <c r="B129" s="25" t="n"/>
      <c r="C129" s="25" t="n"/>
      <c r="D129" s="10" t="n"/>
      <c r="E129" s="10" t="n"/>
      <c r="F129" s="10" t="n"/>
      <c r="G129" s="10" t="n"/>
      <c r="H129" s="10" t="n"/>
      <c r="I129" s="10" t="n"/>
    </row>
    <row r="130">
      <c r="A130" s="25" t="n"/>
      <c r="B130" s="25" t="n"/>
      <c r="C130" s="25" t="n"/>
      <c r="D130" s="10" t="n"/>
      <c r="E130" s="10" t="n"/>
      <c r="F130" s="10" t="n"/>
      <c r="G130" s="10" t="n"/>
      <c r="H130" s="10" t="n"/>
      <c r="I130" s="10" t="n"/>
    </row>
    <row r="131">
      <c r="A131" s="25" t="n"/>
      <c r="B131" s="25" t="n"/>
      <c r="C131" s="25" t="n"/>
      <c r="D131" s="10" t="n"/>
      <c r="E131" s="10" t="n"/>
      <c r="F131" s="10" t="n"/>
      <c r="G131" s="10" t="n"/>
      <c r="H131" s="10" t="n"/>
      <c r="I131" s="10" t="n"/>
    </row>
    <row r="132">
      <c r="A132" s="25" t="n"/>
      <c r="B132" s="25" t="n"/>
      <c r="C132" s="25" t="n"/>
      <c r="D132" s="10" t="n"/>
      <c r="E132" s="10" t="n"/>
      <c r="F132" s="10" t="n"/>
      <c r="G132" s="10" t="n"/>
      <c r="H132" s="10" t="n"/>
      <c r="I132" s="10" t="n"/>
    </row>
    <row r="133">
      <c r="A133" s="25" t="n"/>
      <c r="B133" s="25" t="n"/>
      <c r="C133" s="25" t="n"/>
      <c r="D133" s="10" t="n"/>
      <c r="E133" s="10" t="n"/>
      <c r="F133" s="10" t="n"/>
      <c r="G133" s="10" t="n"/>
      <c r="H133" s="10" t="n"/>
      <c r="I133" s="10" t="n"/>
    </row>
    <row r="134">
      <c r="A134" s="25" t="n"/>
      <c r="B134" s="25" t="n"/>
      <c r="C134" s="25" t="n"/>
      <c r="D134" s="10" t="n"/>
      <c r="E134" s="10" t="n"/>
      <c r="F134" s="10" t="n"/>
      <c r="G134" s="10" t="n"/>
      <c r="H134" s="10" t="n"/>
      <c r="I134" s="10" t="n"/>
    </row>
    <row r="135">
      <c r="A135" s="25" t="n"/>
      <c r="B135" s="25" t="n"/>
      <c r="C135" s="25" t="n"/>
      <c r="D135" s="10" t="n"/>
      <c r="E135" s="10" t="n"/>
      <c r="F135" s="10" t="n"/>
      <c r="G135" s="10" t="n"/>
      <c r="H135" s="10" t="n"/>
      <c r="I135" s="10" t="n"/>
    </row>
    <row r="136">
      <c r="A136" s="25" t="n"/>
      <c r="B136" s="25" t="n"/>
      <c r="C136" s="25" t="n"/>
      <c r="D136" s="10" t="n"/>
      <c r="E136" s="10" t="n"/>
      <c r="F136" s="10" t="n"/>
      <c r="G136" s="10" t="n"/>
      <c r="H136" s="10" t="n"/>
      <c r="I136" s="10" t="n"/>
    </row>
    <row r="137">
      <c r="A137" s="25" t="n"/>
      <c r="B137" s="25" t="n"/>
      <c r="C137" s="25" t="n"/>
      <c r="D137" s="10" t="n"/>
      <c r="E137" s="10" t="n"/>
      <c r="F137" s="10" t="n"/>
      <c r="G137" s="10" t="n"/>
      <c r="H137" s="10" t="n"/>
      <c r="I137" s="10" t="n"/>
    </row>
    <row r="138">
      <c r="A138" s="25" t="n"/>
      <c r="B138" s="25" t="n"/>
      <c r="C138" s="25" t="n"/>
      <c r="D138" s="10" t="n"/>
      <c r="E138" s="10" t="n"/>
      <c r="F138" s="10" t="n"/>
      <c r="G138" s="10" t="n"/>
      <c r="H138" s="10" t="n"/>
      <c r="I138" s="10" t="n"/>
    </row>
    <row r="139">
      <c r="A139" s="25" t="n"/>
      <c r="B139" s="25" t="n"/>
      <c r="C139" s="25" t="n"/>
      <c r="D139" s="10" t="n"/>
      <c r="E139" s="10" t="n"/>
      <c r="F139" s="10" t="n"/>
      <c r="G139" s="10" t="n"/>
      <c r="H139" s="10" t="n"/>
      <c r="I139" s="10" t="n"/>
    </row>
    <row r="140">
      <c r="A140" s="25" t="n"/>
      <c r="B140" s="25" t="n"/>
      <c r="C140" s="25" t="n"/>
      <c r="D140" s="10" t="n"/>
      <c r="E140" s="10" t="n"/>
      <c r="F140" s="10" t="n"/>
      <c r="G140" s="10" t="n"/>
      <c r="H140" s="10" t="n"/>
      <c r="I140" s="10" t="n"/>
    </row>
    <row r="141">
      <c r="A141" s="25" t="n"/>
      <c r="B141" s="25" t="n"/>
      <c r="C141" s="25" t="n"/>
      <c r="D141" s="10" t="n"/>
      <c r="E141" s="10" t="n"/>
      <c r="F141" s="10" t="n"/>
      <c r="G141" s="10" t="n"/>
      <c r="H141" s="10" t="n"/>
      <c r="I141" s="10" t="n"/>
    </row>
    <row r="142">
      <c r="A142" s="25" t="n"/>
      <c r="B142" s="25" t="n"/>
      <c r="C142" s="25" t="n"/>
      <c r="D142" s="10" t="n"/>
      <c r="E142" s="10" t="n"/>
      <c r="F142" s="10" t="n"/>
      <c r="G142" s="10" t="n"/>
      <c r="H142" s="10" t="n"/>
      <c r="I142" s="10" t="n"/>
    </row>
    <row r="143">
      <c r="A143" s="25" t="n"/>
      <c r="B143" s="25" t="n"/>
      <c r="C143" s="25" t="n"/>
      <c r="D143" s="10" t="n"/>
      <c r="E143" s="10" t="n"/>
      <c r="F143" s="10" t="n"/>
      <c r="G143" s="10" t="n"/>
      <c r="H143" s="10" t="n"/>
      <c r="I143" s="10" t="n"/>
    </row>
    <row r="144">
      <c r="A144" s="25" t="n"/>
      <c r="B144" s="25" t="n"/>
      <c r="C144" s="25" t="n"/>
      <c r="D144" s="10" t="n"/>
      <c r="E144" s="10" t="n"/>
      <c r="F144" s="10" t="n"/>
      <c r="G144" s="10" t="n"/>
      <c r="H144" s="10" t="n"/>
      <c r="I144" s="10" t="n"/>
    </row>
    <row r="145">
      <c r="A145" s="25" t="n"/>
      <c r="B145" s="25" t="n"/>
      <c r="C145" s="25" t="n"/>
      <c r="D145" s="10" t="n"/>
      <c r="E145" s="10" t="n"/>
      <c r="F145" s="10" t="n"/>
      <c r="G145" s="10" t="n"/>
      <c r="H145" s="10" t="n"/>
      <c r="I145" s="10" t="n"/>
    </row>
    <row r="146">
      <c r="A146" s="25" t="n"/>
      <c r="B146" s="25" t="n"/>
      <c r="C146" s="25" t="n"/>
      <c r="D146" s="10" t="n"/>
      <c r="E146" s="10" t="n"/>
      <c r="F146" s="10" t="n"/>
      <c r="G146" s="10" t="n"/>
      <c r="H146" s="10" t="n"/>
      <c r="I146" s="10" t="n"/>
    </row>
    <row r="147">
      <c r="A147" s="25" t="n"/>
      <c r="B147" s="25" t="n"/>
      <c r="C147" s="25" t="n"/>
      <c r="D147" s="10" t="n"/>
      <c r="E147" s="10" t="n"/>
      <c r="F147" s="10" t="n"/>
      <c r="G147" s="10" t="n"/>
      <c r="H147" s="10" t="n"/>
      <c r="I147" s="10" t="n"/>
    </row>
    <row r="148">
      <c r="A148" s="25" t="n"/>
      <c r="B148" s="25" t="n"/>
      <c r="C148" s="25" t="n"/>
      <c r="D148" s="10" t="n"/>
      <c r="E148" s="10" t="n"/>
      <c r="F148" s="10" t="n"/>
      <c r="G148" s="10" t="n"/>
      <c r="H148" s="10" t="n"/>
      <c r="I148" s="10" t="n"/>
    </row>
    <row r="149">
      <c r="A149" s="25" t="n"/>
      <c r="B149" s="25" t="n"/>
      <c r="C149" s="25" t="n"/>
      <c r="D149" s="10" t="n"/>
      <c r="E149" s="10" t="n"/>
      <c r="F149" s="10" t="n"/>
      <c r="G149" s="10" t="n"/>
      <c r="H149" s="10" t="n"/>
      <c r="I149" s="10" t="n"/>
    </row>
    <row r="150">
      <c r="A150" s="25" t="n"/>
      <c r="B150" s="25" t="n"/>
      <c r="C150" s="25" t="n"/>
      <c r="D150" s="10" t="n"/>
      <c r="E150" s="10" t="n"/>
      <c r="F150" s="10" t="n"/>
      <c r="G150" s="10" t="n"/>
      <c r="H150" s="10" t="n"/>
      <c r="I150" s="10" t="n"/>
    </row>
    <row r="151">
      <c r="A151" s="25" t="n"/>
      <c r="B151" s="25" t="n"/>
      <c r="C151" s="25" t="n"/>
      <c r="D151" s="10" t="n"/>
      <c r="E151" s="10" t="n"/>
      <c r="F151" s="10" t="n"/>
      <c r="G151" s="10" t="n"/>
      <c r="H151" s="10" t="n"/>
      <c r="I151" s="10" t="n"/>
    </row>
    <row r="152">
      <c r="A152" s="25" t="n"/>
      <c r="B152" s="25" t="n"/>
      <c r="C152" s="25" t="n"/>
      <c r="D152" s="10" t="n"/>
      <c r="E152" s="10" t="n"/>
      <c r="F152" s="10" t="n"/>
      <c r="G152" s="10" t="n"/>
      <c r="H152" s="10" t="n"/>
      <c r="I152" s="10" t="n"/>
    </row>
    <row r="153">
      <c r="A153" s="25" t="n"/>
      <c r="B153" s="25" t="n"/>
      <c r="C153" s="25" t="n"/>
      <c r="D153" s="10" t="n"/>
      <c r="E153" s="10" t="n"/>
      <c r="F153" s="10" t="n"/>
      <c r="G153" s="10" t="n"/>
      <c r="H153" s="10" t="n"/>
      <c r="I153" s="10" t="n"/>
    </row>
    <row r="154">
      <c r="A154" s="25" t="n"/>
      <c r="B154" s="25" t="n"/>
      <c r="C154" s="25" t="n"/>
      <c r="D154" s="10" t="n"/>
      <c r="E154" s="10" t="n"/>
      <c r="F154" s="10" t="n"/>
      <c r="G154" s="10" t="n"/>
      <c r="H154" s="10" t="n"/>
      <c r="I154" s="10" t="n"/>
    </row>
    <row r="155">
      <c r="A155" s="25" t="n"/>
      <c r="B155" s="25" t="n"/>
      <c r="C155" s="25" t="n"/>
      <c r="D155" s="10" t="n"/>
      <c r="E155" s="10" t="n"/>
      <c r="F155" s="10" t="n"/>
      <c r="G155" s="10" t="n"/>
      <c r="H155" s="10" t="n"/>
      <c r="I155" s="10" t="n"/>
    </row>
  </sheetData>
  <mergeCells count="2">
    <mergeCell ref="A1:I1"/>
    <mergeCell ref="A2:I2"/>
  </mergeCells>
  <dataValidations count="2">
    <dataValidation sqref="E6:E155" showDropDown="0" showInputMessage="0" showErrorMessage="0" allowBlank="1" type="list">
      <formula1>"A then B,B then A"</formula1>
    </dataValidation>
    <dataValidation sqref="G6:I155"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S15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7.5" customWidth="1" min="41" max="41"/>
    <col width="7.5" customWidth="1" min="42" max="42"/>
    <col width="7.5" customWidth="1" min="43" max="43"/>
    <col width="11" customWidth="1" min="44" max="44"/>
    <col width="9" customWidth="1" min="45" max="45"/>
  </cols>
  <sheetData>
    <row r="1" ht="30" customHeight="1">
      <c r="A1" s="1" t="inlineStr">
        <is>
          <t>Pre-Test Entry — FORM A</t>
        </is>
      </c>
    </row>
    <row r="2">
      <c r="A2" s="8" t="inlineStr">
        <is>
          <t>Enter POINTS EARNED for each item. Enter 0 for a wrong answer — a blank means 'not tested' and removes the student from the statistics. Row 3 shows the reporting category; row 4 shows the maximum points for the item.</t>
        </is>
      </c>
    </row>
    <row r="3">
      <c r="A3" s="26" t="inlineStr">
        <is>
          <t>Category →</t>
        </is>
      </c>
      <c r="C3" s="27" t="inlineStr">
        <is>
          <t>I-TEC</t>
        </is>
      </c>
      <c r="D3" s="27" t="inlineStr">
        <is>
          <t>I-TEC</t>
        </is>
      </c>
      <c r="E3" s="27" t="inlineStr">
        <is>
          <t>I-LNG</t>
        </is>
      </c>
      <c r="F3" s="27" t="inlineStr">
        <is>
          <t>I-CSS</t>
        </is>
      </c>
      <c r="G3" s="27" t="inlineStr">
        <is>
          <t>I-TEC</t>
        </is>
      </c>
      <c r="H3" s="27" t="inlineStr">
        <is>
          <t>I-TEC</t>
        </is>
      </c>
      <c r="I3" s="27" t="inlineStr">
        <is>
          <t>I-TEC</t>
        </is>
      </c>
      <c r="J3" s="27" t="inlineStr">
        <is>
          <t>I-TEC</t>
        </is>
      </c>
      <c r="K3" s="27" t="inlineStr">
        <is>
          <t>I-PRA</t>
        </is>
      </c>
      <c r="L3" s="27" t="inlineStr">
        <is>
          <t>I-PRA</t>
        </is>
      </c>
      <c r="M3" s="27" t="inlineStr">
        <is>
          <t>I-CSS</t>
        </is>
      </c>
      <c r="N3" s="27" t="inlineStr">
        <is>
          <t>I-TEC</t>
        </is>
      </c>
      <c r="O3" s="27" t="inlineStr">
        <is>
          <t>I-TEC</t>
        </is>
      </c>
      <c r="P3" s="27" t="inlineStr">
        <is>
          <t>I-LNG</t>
        </is>
      </c>
      <c r="Q3" s="27" t="inlineStr">
        <is>
          <t>I-LNG</t>
        </is>
      </c>
      <c r="R3" s="27" t="inlineStr">
        <is>
          <t>I-CSS</t>
        </is>
      </c>
      <c r="S3" s="27" t="inlineStr">
        <is>
          <t>I-TEC</t>
        </is>
      </c>
      <c r="T3" s="27" t="inlineStr">
        <is>
          <t>I-TEC</t>
        </is>
      </c>
      <c r="U3" s="27" t="inlineStr">
        <is>
          <t>I-LNG</t>
        </is>
      </c>
      <c r="V3" s="27" t="inlineStr">
        <is>
          <t>I-CSS</t>
        </is>
      </c>
      <c r="W3" s="27" t="inlineStr">
        <is>
          <t>I-LNG</t>
        </is>
      </c>
      <c r="X3" s="27" t="inlineStr">
        <is>
          <t>I-TEC</t>
        </is>
      </c>
      <c r="Y3" s="27" t="inlineStr">
        <is>
          <t>I-PRA</t>
        </is>
      </c>
      <c r="Z3" s="27" t="inlineStr">
        <is>
          <t>I-PRA</t>
        </is>
      </c>
      <c r="AA3" s="27" t="inlineStr">
        <is>
          <t>C-CSS</t>
        </is>
      </c>
      <c r="AB3" s="27" t="inlineStr">
        <is>
          <t>C-TEC</t>
        </is>
      </c>
      <c r="AC3" s="27" t="inlineStr">
        <is>
          <t>C-TEC</t>
        </is>
      </c>
      <c r="AD3" s="27" t="inlineStr">
        <is>
          <t>C-TEC</t>
        </is>
      </c>
      <c r="AE3" s="27" t="inlineStr">
        <is>
          <t>C-TEC</t>
        </is>
      </c>
      <c r="AF3" s="27" t="inlineStr">
        <is>
          <t>C-CSS</t>
        </is>
      </c>
      <c r="AG3" s="27" t="inlineStr">
        <is>
          <t>C-CSS</t>
        </is>
      </c>
      <c r="AH3" s="27" t="inlineStr">
        <is>
          <t>C-LNG</t>
        </is>
      </c>
      <c r="AI3" s="27" t="inlineStr">
        <is>
          <t>C-LNG</t>
        </is>
      </c>
      <c r="AJ3" s="27" t="inlineStr">
        <is>
          <t>C-LNG</t>
        </is>
      </c>
      <c r="AK3" s="27" t="inlineStr">
        <is>
          <t>C-LNG</t>
        </is>
      </c>
      <c r="AL3" s="27" t="inlineStr">
        <is>
          <t>C-LNG</t>
        </is>
      </c>
      <c r="AM3" s="27" t="inlineStr">
        <is>
          <t>C-TEC</t>
        </is>
      </c>
      <c r="AN3" s="27" t="inlineStr">
        <is>
          <t>C-CSS</t>
        </is>
      </c>
      <c r="AO3" s="27" t="inlineStr">
        <is>
          <t>C-CSS</t>
        </is>
      </c>
      <c r="AP3" s="27" t="inlineStr">
        <is>
          <t>C-TEC</t>
        </is>
      </c>
      <c r="AQ3" s="27" t="inlineStr">
        <is>
          <t>C-LNG</t>
        </is>
      </c>
    </row>
    <row r="4">
      <c r="A4" s="26" t="inlineStr">
        <is>
          <t>Max points →</t>
        </is>
      </c>
      <c r="C4" s="28" t="n">
        <v>1</v>
      </c>
      <c r="D4" s="28" t="n">
        <v>2</v>
      </c>
      <c r="E4" s="28" t="n">
        <v>1</v>
      </c>
      <c r="F4" s="28" t="n">
        <v>1</v>
      </c>
      <c r="G4" s="28" t="n">
        <v>1</v>
      </c>
      <c r="H4" s="28" t="n">
        <v>1</v>
      </c>
      <c r="I4" s="28" t="n">
        <v>2</v>
      </c>
      <c r="J4" s="28" t="n">
        <v>2</v>
      </c>
      <c r="K4" s="28" t="n">
        <v>1</v>
      </c>
      <c r="L4" s="28" t="n">
        <v>2</v>
      </c>
      <c r="M4" s="28" t="n">
        <v>1</v>
      </c>
      <c r="N4" s="28" t="n">
        <v>1</v>
      </c>
      <c r="O4" s="28" t="n">
        <v>1</v>
      </c>
      <c r="P4" s="28" t="n">
        <v>1</v>
      </c>
      <c r="Q4" s="28" t="n">
        <v>1</v>
      </c>
      <c r="R4" s="28" t="n">
        <v>2</v>
      </c>
      <c r="S4" s="28" t="n">
        <v>1</v>
      </c>
      <c r="T4" s="28" t="n">
        <v>2</v>
      </c>
      <c r="U4" s="28" t="n">
        <v>1</v>
      </c>
      <c r="V4" s="28" t="n">
        <v>2</v>
      </c>
      <c r="W4" s="28" t="n">
        <v>2</v>
      </c>
      <c r="X4" s="28" t="n">
        <v>2</v>
      </c>
      <c r="Y4" s="28" t="n">
        <v>1</v>
      </c>
      <c r="Z4" s="28" t="n">
        <v>2</v>
      </c>
      <c r="AA4" s="28" t="n">
        <v>1</v>
      </c>
      <c r="AB4" s="28" t="n">
        <v>1</v>
      </c>
      <c r="AC4" s="28" t="n">
        <v>2</v>
      </c>
      <c r="AD4" s="28" t="n">
        <v>2</v>
      </c>
      <c r="AE4" s="28" t="n">
        <v>1</v>
      </c>
      <c r="AF4" s="28" t="n">
        <v>2</v>
      </c>
      <c r="AG4" s="28" t="n">
        <v>1</v>
      </c>
      <c r="AH4" s="28" t="n">
        <v>1</v>
      </c>
      <c r="AI4" s="28" t="n">
        <v>2</v>
      </c>
      <c r="AJ4" s="28" t="n">
        <v>1</v>
      </c>
      <c r="AK4" s="28" t="n">
        <v>1</v>
      </c>
      <c r="AL4" s="28" t="n">
        <v>1</v>
      </c>
      <c r="AM4" s="28" t="n">
        <v>1</v>
      </c>
      <c r="AN4" s="28" t="n">
        <v>1</v>
      </c>
      <c r="AO4" s="28" t="n">
        <v>3</v>
      </c>
      <c r="AP4" s="28" t="n">
        <v>3</v>
      </c>
      <c r="AQ4" s="28" t="n">
        <v>2</v>
      </c>
      <c r="AS4" s="29">
        <f>SUM(C4:AQ4)</f>
        <v/>
      </c>
    </row>
    <row r="5">
      <c r="A5" s="15" t="inlineStr">
        <is>
          <t>Student ID</t>
        </is>
      </c>
      <c r="B5" s="15" t="inlineStr">
        <is>
          <t>Student Name</t>
        </is>
      </c>
      <c r="C5" s="15" t="inlineStr">
        <is>
          <t>Q1</t>
        </is>
      </c>
      <c r="D5" s="15" t="inlineStr">
        <is>
          <t>Q2</t>
        </is>
      </c>
      <c r="E5" s="15" t="inlineStr">
        <is>
          <t>Q3</t>
        </is>
      </c>
      <c r="F5" s="15" t="inlineStr">
        <is>
          <t>Q4</t>
        </is>
      </c>
      <c r="G5" s="15" t="inlineStr">
        <is>
          <t>Q5</t>
        </is>
      </c>
      <c r="H5" s="15" t="inlineStr">
        <is>
          <t>Q6</t>
        </is>
      </c>
      <c r="I5" s="15" t="inlineStr">
        <is>
          <t>Q7</t>
        </is>
      </c>
      <c r="J5" s="15" t="inlineStr">
        <is>
          <t>Q8</t>
        </is>
      </c>
      <c r="K5" s="15" t="inlineStr">
        <is>
          <t>Q9</t>
        </is>
      </c>
      <c r="L5" s="15" t="inlineStr">
        <is>
          <t>Q10</t>
        </is>
      </c>
      <c r="M5" s="15" t="inlineStr">
        <is>
          <t>Q11</t>
        </is>
      </c>
      <c r="N5" s="15" t="inlineStr">
        <is>
          <t>Q12</t>
        </is>
      </c>
      <c r="O5" s="15" t="inlineStr">
        <is>
          <t>Q13</t>
        </is>
      </c>
      <c r="P5" s="15" t="inlineStr">
        <is>
          <t>Q14</t>
        </is>
      </c>
      <c r="Q5" s="15" t="inlineStr">
        <is>
          <t>Q15</t>
        </is>
      </c>
      <c r="R5" s="15" t="inlineStr">
        <is>
          <t>Q16</t>
        </is>
      </c>
      <c r="S5" s="15" t="inlineStr">
        <is>
          <t>Q17</t>
        </is>
      </c>
      <c r="T5" s="15" t="inlineStr">
        <is>
          <t>Q18</t>
        </is>
      </c>
      <c r="U5" s="15" t="inlineStr">
        <is>
          <t>Q19</t>
        </is>
      </c>
      <c r="V5" s="15" t="inlineStr">
        <is>
          <t>Q20</t>
        </is>
      </c>
      <c r="W5" s="15" t="inlineStr">
        <is>
          <t>Q21</t>
        </is>
      </c>
      <c r="X5" s="15" t="inlineStr">
        <is>
          <t>Q22</t>
        </is>
      </c>
      <c r="Y5" s="15" t="inlineStr">
        <is>
          <t>Q23</t>
        </is>
      </c>
      <c r="Z5" s="15" t="inlineStr">
        <is>
          <t>Q24</t>
        </is>
      </c>
      <c r="AA5" s="15" t="inlineStr">
        <is>
          <t>Q25</t>
        </is>
      </c>
      <c r="AB5" s="15" t="inlineStr">
        <is>
          <t>Q26</t>
        </is>
      </c>
      <c r="AC5" s="15" t="inlineStr">
        <is>
          <t>Q27</t>
        </is>
      </c>
      <c r="AD5" s="15" t="inlineStr">
        <is>
          <t>Q28</t>
        </is>
      </c>
      <c r="AE5" s="15" t="inlineStr">
        <is>
          <t>Q29</t>
        </is>
      </c>
      <c r="AF5" s="15" t="inlineStr">
        <is>
          <t>Q30</t>
        </is>
      </c>
      <c r="AG5" s="15" t="inlineStr">
        <is>
          <t>Q31</t>
        </is>
      </c>
      <c r="AH5" s="15" t="inlineStr">
        <is>
          <t>Q32</t>
        </is>
      </c>
      <c r="AI5" s="15" t="inlineStr">
        <is>
          <t>Q33</t>
        </is>
      </c>
      <c r="AJ5" s="15" t="inlineStr">
        <is>
          <t>Q34</t>
        </is>
      </c>
      <c r="AK5" s="15" t="inlineStr">
        <is>
          <t>Q35</t>
        </is>
      </c>
      <c r="AL5" s="15" t="inlineStr">
        <is>
          <t>Q36</t>
        </is>
      </c>
      <c r="AM5" s="15" t="inlineStr">
        <is>
          <t>Q37</t>
        </is>
      </c>
      <c r="AN5" s="15" t="inlineStr">
        <is>
          <t>Q38</t>
        </is>
      </c>
      <c r="AO5" s="15" t="inlineStr">
        <is>
          <t>Q39_T1</t>
        </is>
      </c>
      <c r="AP5" s="15" t="inlineStr">
        <is>
          <t>Q39_T2</t>
        </is>
      </c>
      <c r="AQ5" s="15" t="inlineStr">
        <is>
          <t>Q39_T3</t>
        </is>
      </c>
      <c r="AR5" s="15" t="inlineStr">
        <is>
          <t>Essay Cond Code</t>
        </is>
      </c>
      <c r="AS5" s="15" t="inlineStr">
        <is>
          <t>TOTAL</t>
        </is>
      </c>
    </row>
    <row r="6">
      <c r="A6" s="30">
        <f>IF(Roster!$A6="","",Roster!$A6)</f>
        <v/>
      </c>
      <c r="B6" s="31">
        <f>IF(Roster!$B6="","",Roster!$C6&amp;" "&amp;Roster!$B6)</f>
        <v/>
      </c>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6">
        <f>IF(COUNT(C6:AQ6)=0,"",SUM(C6:AQ6))</f>
        <v/>
      </c>
    </row>
    <row r="7">
      <c r="A7" s="30">
        <f>IF(Roster!$A7="","",Roster!$A7)</f>
        <v/>
      </c>
      <c r="B7" s="31">
        <f>IF(Roster!$B7="","",Roster!$C7&amp;" "&amp;Roster!$B7)</f>
        <v/>
      </c>
      <c r="C7" s="10" t="n"/>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10" t="n"/>
      <c r="AS7" s="16">
        <f>IF(COUNT(C7:AQ7)=0,"",SUM(C7:AQ7))</f>
        <v/>
      </c>
    </row>
    <row r="8">
      <c r="A8" s="30">
        <f>IF(Roster!$A8="","",Roster!$A8)</f>
        <v/>
      </c>
      <c r="B8" s="31">
        <f>IF(Roster!$B8="","",Roster!$C8&amp;" "&amp;Roster!$B8)</f>
        <v/>
      </c>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10" t="n"/>
      <c r="AS8" s="16">
        <f>IF(COUNT(C8:AQ8)=0,"",SUM(C8:AQ8))</f>
        <v/>
      </c>
    </row>
    <row r="9">
      <c r="A9" s="30">
        <f>IF(Roster!$A9="","",Roster!$A9)</f>
        <v/>
      </c>
      <c r="B9" s="31">
        <f>IF(Roster!$B9="","",Roster!$C9&amp;" "&amp;Roster!$B9)</f>
        <v/>
      </c>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10" t="n"/>
      <c r="AS9" s="16">
        <f>IF(COUNT(C9:AQ9)=0,"",SUM(C9:AQ9))</f>
        <v/>
      </c>
    </row>
    <row r="10">
      <c r="A10" s="30">
        <f>IF(Roster!$A10="","",Roster!$A10)</f>
        <v/>
      </c>
      <c r="B10" s="31">
        <f>IF(Roster!$B10="","",Roster!$C10&amp;" "&amp;Roster!$B10)</f>
        <v/>
      </c>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6">
        <f>IF(COUNT(C10:AQ10)=0,"",SUM(C10:AQ10))</f>
        <v/>
      </c>
    </row>
    <row r="11">
      <c r="A11" s="30">
        <f>IF(Roster!$A11="","",Roster!$A11)</f>
        <v/>
      </c>
      <c r="B11" s="31">
        <f>IF(Roster!$B11="","",Roster!$C11&amp;" "&amp;Roster!$B11)</f>
        <v/>
      </c>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c r="AN11" s="10" t="n"/>
      <c r="AO11" s="10" t="n"/>
      <c r="AP11" s="10" t="n"/>
      <c r="AQ11" s="10" t="n"/>
      <c r="AR11" s="10" t="n"/>
      <c r="AS11" s="16">
        <f>IF(COUNT(C11:AQ11)=0,"",SUM(C11:AQ11))</f>
        <v/>
      </c>
    </row>
    <row r="12">
      <c r="A12" s="30">
        <f>IF(Roster!$A12="","",Roster!$A12)</f>
        <v/>
      </c>
      <c r="B12" s="31">
        <f>IF(Roster!$B12="","",Roster!$C12&amp;" "&amp;Roster!$B12)</f>
        <v/>
      </c>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6">
        <f>IF(COUNT(C12:AQ12)=0,"",SUM(C12:AQ12))</f>
        <v/>
      </c>
    </row>
    <row r="13">
      <c r="A13" s="30">
        <f>IF(Roster!$A13="","",Roster!$A13)</f>
        <v/>
      </c>
      <c r="B13" s="31">
        <f>IF(Roster!$B13="","",Roster!$C13&amp;" "&amp;Roster!$B13)</f>
        <v/>
      </c>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6">
        <f>IF(COUNT(C13:AQ13)=0,"",SUM(C13:AQ13))</f>
        <v/>
      </c>
    </row>
    <row r="14">
      <c r="A14" s="30">
        <f>IF(Roster!$A14="","",Roster!$A14)</f>
        <v/>
      </c>
      <c r="B14" s="31">
        <f>IF(Roster!$B14="","",Roster!$C14&amp;" "&amp;Roster!$B14)</f>
        <v/>
      </c>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10" t="n"/>
      <c r="AM14" s="10" t="n"/>
      <c r="AN14" s="10" t="n"/>
      <c r="AO14" s="10" t="n"/>
      <c r="AP14" s="10" t="n"/>
      <c r="AQ14" s="10" t="n"/>
      <c r="AR14" s="10" t="n"/>
      <c r="AS14" s="16">
        <f>IF(COUNT(C14:AQ14)=0,"",SUM(C14:AQ14))</f>
        <v/>
      </c>
    </row>
    <row r="15">
      <c r="A15" s="30">
        <f>IF(Roster!$A15="","",Roster!$A15)</f>
        <v/>
      </c>
      <c r="B15" s="31">
        <f>IF(Roster!$B15="","",Roster!$C15&amp;" "&amp;Roster!$B15)</f>
        <v/>
      </c>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c r="AP15" s="10" t="n"/>
      <c r="AQ15" s="10" t="n"/>
      <c r="AR15" s="10" t="n"/>
      <c r="AS15" s="16">
        <f>IF(COUNT(C15:AQ15)=0,"",SUM(C15:AQ15))</f>
        <v/>
      </c>
    </row>
    <row r="16">
      <c r="A16" s="30">
        <f>IF(Roster!$A16="","",Roster!$A16)</f>
        <v/>
      </c>
      <c r="B16" s="31">
        <f>IF(Roster!$B16="","",Roster!$C16&amp;" "&amp;Roster!$B16)</f>
        <v/>
      </c>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n"/>
      <c r="AP16" s="10" t="n"/>
      <c r="AQ16" s="10" t="n"/>
      <c r="AR16" s="10" t="n"/>
      <c r="AS16" s="16">
        <f>IF(COUNT(C16:AQ16)=0,"",SUM(C16:AQ16))</f>
        <v/>
      </c>
    </row>
    <row r="17">
      <c r="A17" s="30">
        <f>IF(Roster!$A17="","",Roster!$A17)</f>
        <v/>
      </c>
      <c r="B17" s="31">
        <f>IF(Roster!$B17="","",Roster!$C17&amp;" "&amp;Roster!$B17)</f>
        <v/>
      </c>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n"/>
      <c r="AP17" s="10" t="n"/>
      <c r="AQ17" s="10" t="n"/>
      <c r="AR17" s="10" t="n"/>
      <c r="AS17" s="16">
        <f>IF(COUNT(C17:AQ17)=0,"",SUM(C17:AQ17))</f>
        <v/>
      </c>
    </row>
    <row r="18">
      <c r="A18" s="30">
        <f>IF(Roster!$A18="","",Roster!$A18)</f>
        <v/>
      </c>
      <c r="B18" s="31">
        <f>IF(Roster!$B18="","",Roster!$C18&amp;" "&amp;Roster!$B18)</f>
        <v/>
      </c>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6">
        <f>IF(COUNT(C18:AQ18)=0,"",SUM(C18:AQ18))</f>
        <v/>
      </c>
    </row>
    <row r="19">
      <c r="A19" s="30">
        <f>IF(Roster!$A19="","",Roster!$A19)</f>
        <v/>
      </c>
      <c r="B19" s="31">
        <f>IF(Roster!$B19="","",Roster!$C19&amp;" "&amp;Roster!$B19)</f>
        <v/>
      </c>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6">
        <f>IF(COUNT(C19:AQ19)=0,"",SUM(C19:AQ19))</f>
        <v/>
      </c>
    </row>
    <row r="20">
      <c r="A20" s="30">
        <f>IF(Roster!$A20="","",Roster!$A20)</f>
        <v/>
      </c>
      <c r="B20" s="31">
        <f>IF(Roster!$B20="","",Roster!$C20&amp;" "&amp;Roster!$B20)</f>
        <v/>
      </c>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6">
        <f>IF(COUNT(C20:AQ20)=0,"",SUM(C20:AQ20))</f>
        <v/>
      </c>
    </row>
    <row r="21">
      <c r="A21" s="30">
        <f>IF(Roster!$A21="","",Roster!$A21)</f>
        <v/>
      </c>
      <c r="B21" s="31">
        <f>IF(Roster!$B21="","",Roster!$C21&amp;" "&amp;Roster!$B21)</f>
        <v/>
      </c>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6">
        <f>IF(COUNT(C21:AQ21)=0,"",SUM(C21:AQ21))</f>
        <v/>
      </c>
    </row>
    <row r="22">
      <c r="A22" s="30">
        <f>IF(Roster!$A22="","",Roster!$A22)</f>
        <v/>
      </c>
      <c r="B22" s="31">
        <f>IF(Roster!$B22="","",Roster!$C22&amp;" "&amp;Roster!$B22)</f>
        <v/>
      </c>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6">
        <f>IF(COUNT(C22:AQ22)=0,"",SUM(C22:AQ22))</f>
        <v/>
      </c>
    </row>
    <row r="23">
      <c r="A23" s="30">
        <f>IF(Roster!$A23="","",Roster!$A23)</f>
        <v/>
      </c>
      <c r="B23" s="31">
        <f>IF(Roster!$B23="","",Roster!$C23&amp;" "&amp;Roster!$B23)</f>
        <v/>
      </c>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6">
        <f>IF(COUNT(C23:AQ23)=0,"",SUM(C23:AQ23))</f>
        <v/>
      </c>
    </row>
    <row r="24">
      <c r="A24" s="30">
        <f>IF(Roster!$A24="","",Roster!$A24)</f>
        <v/>
      </c>
      <c r="B24" s="31">
        <f>IF(Roster!$B24="","",Roster!$C24&amp;" "&amp;Roster!$B24)</f>
        <v/>
      </c>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c r="AH24" s="10" t="n"/>
      <c r="AI24" s="10" t="n"/>
      <c r="AJ24" s="10" t="n"/>
      <c r="AK24" s="10" t="n"/>
      <c r="AL24" s="10" t="n"/>
      <c r="AM24" s="10" t="n"/>
      <c r="AN24" s="10" t="n"/>
      <c r="AO24" s="10" t="n"/>
      <c r="AP24" s="10" t="n"/>
      <c r="AQ24" s="10" t="n"/>
      <c r="AR24" s="10" t="n"/>
      <c r="AS24" s="16">
        <f>IF(COUNT(C24:AQ24)=0,"",SUM(C24:AQ24))</f>
        <v/>
      </c>
    </row>
    <row r="25">
      <c r="A25" s="30">
        <f>IF(Roster!$A25="","",Roster!$A25)</f>
        <v/>
      </c>
      <c r="B25" s="31">
        <f>IF(Roster!$B25="","",Roster!$C25&amp;" "&amp;Roster!$B25)</f>
        <v/>
      </c>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6">
        <f>IF(COUNT(C25:AQ25)=0,"",SUM(C25:AQ25))</f>
        <v/>
      </c>
    </row>
    <row r="26">
      <c r="A26" s="30">
        <f>IF(Roster!$A26="","",Roster!$A26)</f>
        <v/>
      </c>
      <c r="B26" s="31">
        <f>IF(Roster!$B26="","",Roster!$C26&amp;" "&amp;Roster!$B26)</f>
        <v/>
      </c>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6">
        <f>IF(COUNT(C26:AQ26)=0,"",SUM(C26:AQ26))</f>
        <v/>
      </c>
    </row>
    <row r="27">
      <c r="A27" s="30">
        <f>IF(Roster!$A27="","",Roster!$A27)</f>
        <v/>
      </c>
      <c r="B27" s="31">
        <f>IF(Roster!$B27="","",Roster!$C27&amp;" "&amp;Roster!$B27)</f>
        <v/>
      </c>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6">
        <f>IF(COUNT(C27:AQ27)=0,"",SUM(C27:AQ27))</f>
        <v/>
      </c>
    </row>
    <row r="28">
      <c r="A28" s="30">
        <f>IF(Roster!$A28="","",Roster!$A28)</f>
        <v/>
      </c>
      <c r="B28" s="31">
        <f>IF(Roster!$B28="","",Roster!$C28&amp;" "&amp;Roster!$B28)</f>
        <v/>
      </c>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6">
        <f>IF(COUNT(C28:AQ28)=0,"",SUM(C28:AQ28))</f>
        <v/>
      </c>
    </row>
    <row r="29">
      <c r="A29" s="30">
        <f>IF(Roster!$A29="","",Roster!$A29)</f>
        <v/>
      </c>
      <c r="B29" s="31">
        <f>IF(Roster!$B29="","",Roster!$C29&amp;" "&amp;Roster!$B29)</f>
        <v/>
      </c>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6">
        <f>IF(COUNT(C29:AQ29)=0,"",SUM(C29:AQ29))</f>
        <v/>
      </c>
    </row>
    <row r="30">
      <c r="A30" s="30">
        <f>IF(Roster!$A30="","",Roster!$A30)</f>
        <v/>
      </c>
      <c r="B30" s="31">
        <f>IF(Roster!$B30="","",Roster!$C30&amp;" "&amp;Roster!$B30)</f>
        <v/>
      </c>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6">
        <f>IF(COUNT(C30:AQ30)=0,"",SUM(C30:AQ30))</f>
        <v/>
      </c>
    </row>
    <row r="31">
      <c r="A31" s="30">
        <f>IF(Roster!$A31="","",Roster!$A31)</f>
        <v/>
      </c>
      <c r="B31" s="31">
        <f>IF(Roster!$B31="","",Roster!$C31&amp;" "&amp;Roster!$B31)</f>
        <v/>
      </c>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6">
        <f>IF(COUNT(C31:AQ31)=0,"",SUM(C31:AQ31))</f>
        <v/>
      </c>
    </row>
    <row r="32">
      <c r="A32" s="30">
        <f>IF(Roster!$A32="","",Roster!$A32)</f>
        <v/>
      </c>
      <c r="B32" s="31">
        <f>IF(Roster!$B32="","",Roster!$C32&amp;" "&amp;Roster!$B32)</f>
        <v/>
      </c>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6">
        <f>IF(COUNT(C32:AQ32)=0,"",SUM(C32:AQ32))</f>
        <v/>
      </c>
    </row>
    <row r="33">
      <c r="A33" s="30">
        <f>IF(Roster!$A33="","",Roster!$A33)</f>
        <v/>
      </c>
      <c r="B33" s="31">
        <f>IF(Roster!$B33="","",Roster!$C33&amp;" "&amp;Roster!$B33)</f>
        <v/>
      </c>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c r="AH33" s="10" t="n"/>
      <c r="AI33" s="10" t="n"/>
      <c r="AJ33" s="10" t="n"/>
      <c r="AK33" s="10" t="n"/>
      <c r="AL33" s="10" t="n"/>
      <c r="AM33" s="10" t="n"/>
      <c r="AN33" s="10" t="n"/>
      <c r="AO33" s="10" t="n"/>
      <c r="AP33" s="10" t="n"/>
      <c r="AQ33" s="10" t="n"/>
      <c r="AR33" s="10" t="n"/>
      <c r="AS33" s="16">
        <f>IF(COUNT(C33:AQ33)=0,"",SUM(C33:AQ33))</f>
        <v/>
      </c>
    </row>
    <row r="34">
      <c r="A34" s="30">
        <f>IF(Roster!$A34="","",Roster!$A34)</f>
        <v/>
      </c>
      <c r="B34" s="31">
        <f>IF(Roster!$B34="","",Roster!$C34&amp;" "&amp;Roster!$B34)</f>
        <v/>
      </c>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6">
        <f>IF(COUNT(C34:AQ34)=0,"",SUM(C34:AQ34))</f>
        <v/>
      </c>
    </row>
    <row r="35">
      <c r="A35" s="30">
        <f>IF(Roster!$A35="","",Roster!$A35)</f>
        <v/>
      </c>
      <c r="B35" s="31">
        <f>IF(Roster!$B35="","",Roster!$C35&amp;" "&amp;Roster!$B35)</f>
        <v/>
      </c>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6">
        <f>IF(COUNT(C35:AQ35)=0,"",SUM(C35:AQ35))</f>
        <v/>
      </c>
    </row>
    <row r="36">
      <c r="A36" s="30">
        <f>IF(Roster!$A36="","",Roster!$A36)</f>
        <v/>
      </c>
      <c r="B36" s="31">
        <f>IF(Roster!$B36="","",Roster!$C36&amp;" "&amp;Roster!$B36)</f>
        <v/>
      </c>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c r="AH36" s="10" t="n"/>
      <c r="AI36" s="10" t="n"/>
      <c r="AJ36" s="10" t="n"/>
      <c r="AK36" s="10" t="n"/>
      <c r="AL36" s="10" t="n"/>
      <c r="AM36" s="10" t="n"/>
      <c r="AN36" s="10" t="n"/>
      <c r="AO36" s="10" t="n"/>
      <c r="AP36" s="10" t="n"/>
      <c r="AQ36" s="10" t="n"/>
      <c r="AR36" s="10" t="n"/>
      <c r="AS36" s="16">
        <f>IF(COUNT(C36:AQ36)=0,"",SUM(C36:AQ36))</f>
        <v/>
      </c>
    </row>
    <row r="37">
      <c r="A37" s="30">
        <f>IF(Roster!$A37="","",Roster!$A37)</f>
        <v/>
      </c>
      <c r="B37" s="31">
        <f>IF(Roster!$B37="","",Roster!$C37&amp;" "&amp;Roster!$B37)</f>
        <v/>
      </c>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c r="AJ37" s="10" t="n"/>
      <c r="AK37" s="10" t="n"/>
      <c r="AL37" s="10" t="n"/>
      <c r="AM37" s="10" t="n"/>
      <c r="AN37" s="10" t="n"/>
      <c r="AO37" s="10" t="n"/>
      <c r="AP37" s="10" t="n"/>
      <c r="AQ37" s="10" t="n"/>
      <c r="AR37" s="10" t="n"/>
      <c r="AS37" s="16">
        <f>IF(COUNT(C37:AQ37)=0,"",SUM(C37:AQ37))</f>
        <v/>
      </c>
    </row>
    <row r="38">
      <c r="A38" s="30">
        <f>IF(Roster!$A38="","",Roster!$A38)</f>
        <v/>
      </c>
      <c r="B38" s="31">
        <f>IF(Roster!$B38="","",Roster!$C38&amp;" "&amp;Roster!$B38)</f>
        <v/>
      </c>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6">
        <f>IF(COUNT(C38:AQ38)=0,"",SUM(C38:AQ38))</f>
        <v/>
      </c>
    </row>
    <row r="39">
      <c r="A39" s="30">
        <f>IF(Roster!$A39="","",Roster!$A39)</f>
        <v/>
      </c>
      <c r="B39" s="31">
        <f>IF(Roster!$B39="","",Roster!$C39&amp;" "&amp;Roster!$B39)</f>
        <v/>
      </c>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6">
        <f>IF(COUNT(C39:AQ39)=0,"",SUM(C39:AQ39))</f>
        <v/>
      </c>
    </row>
    <row r="40">
      <c r="A40" s="30">
        <f>IF(Roster!$A40="","",Roster!$A40)</f>
        <v/>
      </c>
      <c r="B40" s="31">
        <f>IF(Roster!$B40="","",Roster!$C40&amp;" "&amp;Roster!$B40)</f>
        <v/>
      </c>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6">
        <f>IF(COUNT(C40:AQ40)=0,"",SUM(C40:AQ40))</f>
        <v/>
      </c>
    </row>
    <row r="41">
      <c r="A41" s="30">
        <f>IF(Roster!$A41="","",Roster!$A41)</f>
        <v/>
      </c>
      <c r="B41" s="31">
        <f>IF(Roster!$B41="","",Roster!$C41&amp;" "&amp;Roster!$B41)</f>
        <v/>
      </c>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c r="AI41" s="10" t="n"/>
      <c r="AJ41" s="10" t="n"/>
      <c r="AK41" s="10" t="n"/>
      <c r="AL41" s="10" t="n"/>
      <c r="AM41" s="10" t="n"/>
      <c r="AN41" s="10" t="n"/>
      <c r="AO41" s="10" t="n"/>
      <c r="AP41" s="10" t="n"/>
      <c r="AQ41" s="10" t="n"/>
      <c r="AR41" s="10" t="n"/>
      <c r="AS41" s="16">
        <f>IF(COUNT(C41:AQ41)=0,"",SUM(C41:AQ41))</f>
        <v/>
      </c>
    </row>
    <row r="42">
      <c r="A42" s="30">
        <f>IF(Roster!$A42="","",Roster!$A42)</f>
        <v/>
      </c>
      <c r="B42" s="31">
        <f>IF(Roster!$B42="","",Roster!$C42&amp;" "&amp;Roster!$B42)</f>
        <v/>
      </c>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6">
        <f>IF(COUNT(C42:AQ42)=0,"",SUM(C42:AQ42))</f>
        <v/>
      </c>
    </row>
    <row r="43">
      <c r="A43" s="30">
        <f>IF(Roster!$A43="","",Roster!$A43)</f>
        <v/>
      </c>
      <c r="B43" s="31">
        <f>IF(Roster!$B43="","",Roster!$C43&amp;" "&amp;Roster!$B43)</f>
        <v/>
      </c>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6">
        <f>IF(COUNT(C43:AQ43)=0,"",SUM(C43:AQ43))</f>
        <v/>
      </c>
    </row>
    <row r="44">
      <c r="A44" s="30">
        <f>IF(Roster!$A44="","",Roster!$A44)</f>
        <v/>
      </c>
      <c r="B44" s="31">
        <f>IF(Roster!$B44="","",Roster!$C44&amp;" "&amp;Roster!$B44)</f>
        <v/>
      </c>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6">
        <f>IF(COUNT(C44:AQ44)=0,"",SUM(C44:AQ44))</f>
        <v/>
      </c>
    </row>
    <row r="45">
      <c r="A45" s="30">
        <f>IF(Roster!$A45="","",Roster!$A45)</f>
        <v/>
      </c>
      <c r="B45" s="31">
        <f>IF(Roster!$B45="","",Roster!$C45&amp;" "&amp;Roster!$B45)</f>
        <v/>
      </c>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6">
        <f>IF(COUNT(C45:AQ45)=0,"",SUM(C45:AQ45))</f>
        <v/>
      </c>
    </row>
    <row r="46">
      <c r="A46" s="30">
        <f>IF(Roster!$A46="","",Roster!$A46)</f>
        <v/>
      </c>
      <c r="B46" s="31">
        <f>IF(Roster!$B46="","",Roster!$C46&amp;" "&amp;Roster!$B46)</f>
        <v/>
      </c>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6">
        <f>IF(COUNT(C46:AQ46)=0,"",SUM(C46:AQ46))</f>
        <v/>
      </c>
    </row>
    <row r="47">
      <c r="A47" s="30">
        <f>IF(Roster!$A47="","",Roster!$A47)</f>
        <v/>
      </c>
      <c r="B47" s="31">
        <f>IF(Roster!$B47="","",Roster!$C47&amp;" "&amp;Roster!$B47)</f>
        <v/>
      </c>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6">
        <f>IF(COUNT(C47:AQ47)=0,"",SUM(C47:AQ47))</f>
        <v/>
      </c>
    </row>
    <row r="48">
      <c r="A48" s="30">
        <f>IF(Roster!$A48="","",Roster!$A48)</f>
        <v/>
      </c>
      <c r="B48" s="31">
        <f>IF(Roster!$B48="","",Roster!$C48&amp;" "&amp;Roster!$B48)</f>
        <v/>
      </c>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n"/>
      <c r="AJ48" s="10" t="n"/>
      <c r="AK48" s="10" t="n"/>
      <c r="AL48" s="10" t="n"/>
      <c r="AM48" s="10" t="n"/>
      <c r="AN48" s="10" t="n"/>
      <c r="AO48" s="10" t="n"/>
      <c r="AP48" s="10" t="n"/>
      <c r="AQ48" s="10" t="n"/>
      <c r="AR48" s="10" t="n"/>
      <c r="AS48" s="16">
        <f>IF(COUNT(C48:AQ48)=0,"",SUM(C48:AQ48))</f>
        <v/>
      </c>
    </row>
    <row r="49">
      <c r="A49" s="30">
        <f>IF(Roster!$A49="","",Roster!$A49)</f>
        <v/>
      </c>
      <c r="B49" s="31">
        <f>IF(Roster!$B49="","",Roster!$C49&amp;" "&amp;Roster!$B49)</f>
        <v/>
      </c>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6">
        <f>IF(COUNT(C49:AQ49)=0,"",SUM(C49:AQ49))</f>
        <v/>
      </c>
    </row>
    <row r="50">
      <c r="A50" s="30">
        <f>IF(Roster!$A50="","",Roster!$A50)</f>
        <v/>
      </c>
      <c r="B50" s="31">
        <f>IF(Roster!$B50="","",Roster!$C50&amp;" "&amp;Roster!$B50)</f>
        <v/>
      </c>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6">
        <f>IF(COUNT(C50:AQ50)=0,"",SUM(C50:AQ50))</f>
        <v/>
      </c>
    </row>
    <row r="51">
      <c r="A51" s="30">
        <f>IF(Roster!$A51="","",Roster!$A51)</f>
        <v/>
      </c>
      <c r="B51" s="31">
        <f>IF(Roster!$B51="","",Roster!$C51&amp;" "&amp;Roster!$B51)</f>
        <v/>
      </c>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6">
        <f>IF(COUNT(C51:AQ51)=0,"",SUM(C51:AQ51))</f>
        <v/>
      </c>
    </row>
    <row r="52">
      <c r="A52" s="30">
        <f>IF(Roster!$A52="","",Roster!$A52)</f>
        <v/>
      </c>
      <c r="B52" s="31">
        <f>IF(Roster!$B52="","",Roster!$C52&amp;" "&amp;Roster!$B52)</f>
        <v/>
      </c>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6">
        <f>IF(COUNT(C52:AQ52)=0,"",SUM(C52:AQ52))</f>
        <v/>
      </c>
    </row>
    <row r="53">
      <c r="A53" s="30">
        <f>IF(Roster!$A53="","",Roster!$A53)</f>
        <v/>
      </c>
      <c r="B53" s="31">
        <f>IF(Roster!$B53="","",Roster!$C53&amp;" "&amp;Roster!$B53)</f>
        <v/>
      </c>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6">
        <f>IF(COUNT(C53:AQ53)=0,"",SUM(C53:AQ53))</f>
        <v/>
      </c>
    </row>
    <row r="54">
      <c r="A54" s="30">
        <f>IF(Roster!$A54="","",Roster!$A54)</f>
        <v/>
      </c>
      <c r="B54" s="31">
        <f>IF(Roster!$B54="","",Roster!$C54&amp;" "&amp;Roster!$B54)</f>
        <v/>
      </c>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c r="AH54" s="10" t="n"/>
      <c r="AI54" s="10" t="n"/>
      <c r="AJ54" s="10" t="n"/>
      <c r="AK54" s="10" t="n"/>
      <c r="AL54" s="10" t="n"/>
      <c r="AM54" s="10" t="n"/>
      <c r="AN54" s="10" t="n"/>
      <c r="AO54" s="10" t="n"/>
      <c r="AP54" s="10" t="n"/>
      <c r="AQ54" s="10" t="n"/>
      <c r="AR54" s="10" t="n"/>
      <c r="AS54" s="16">
        <f>IF(COUNT(C54:AQ54)=0,"",SUM(C54:AQ54))</f>
        <v/>
      </c>
    </row>
    <row r="55">
      <c r="A55" s="30">
        <f>IF(Roster!$A55="","",Roster!$A55)</f>
        <v/>
      </c>
      <c r="B55" s="31">
        <f>IF(Roster!$B55="","",Roster!$C55&amp;" "&amp;Roster!$B55)</f>
        <v/>
      </c>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6">
        <f>IF(COUNT(C55:AQ55)=0,"",SUM(C55:AQ55))</f>
        <v/>
      </c>
    </row>
    <row r="56">
      <c r="A56" s="30">
        <f>IF(Roster!$A56="","",Roster!$A56)</f>
        <v/>
      </c>
      <c r="B56" s="31">
        <f>IF(Roster!$B56="","",Roster!$C56&amp;" "&amp;Roster!$B56)</f>
        <v/>
      </c>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16">
        <f>IF(COUNT(C56:AQ56)=0,"",SUM(C56:AQ56))</f>
        <v/>
      </c>
    </row>
    <row r="57">
      <c r="A57" s="30">
        <f>IF(Roster!$A57="","",Roster!$A57)</f>
        <v/>
      </c>
      <c r="B57" s="31">
        <f>IF(Roster!$B57="","",Roster!$C57&amp;" "&amp;Roster!$B57)</f>
        <v/>
      </c>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6">
        <f>IF(COUNT(C57:AQ57)=0,"",SUM(C57:AQ57))</f>
        <v/>
      </c>
    </row>
    <row r="58">
      <c r="A58" s="30">
        <f>IF(Roster!$A58="","",Roster!$A58)</f>
        <v/>
      </c>
      <c r="B58" s="31">
        <f>IF(Roster!$B58="","",Roster!$C58&amp;" "&amp;Roster!$B58)</f>
        <v/>
      </c>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c r="AH58" s="10" t="n"/>
      <c r="AI58" s="10" t="n"/>
      <c r="AJ58" s="10" t="n"/>
      <c r="AK58" s="10" t="n"/>
      <c r="AL58" s="10" t="n"/>
      <c r="AM58" s="10" t="n"/>
      <c r="AN58" s="10" t="n"/>
      <c r="AO58" s="10" t="n"/>
      <c r="AP58" s="10" t="n"/>
      <c r="AQ58" s="10" t="n"/>
      <c r="AR58" s="10" t="n"/>
      <c r="AS58" s="16">
        <f>IF(COUNT(C58:AQ58)=0,"",SUM(C58:AQ58))</f>
        <v/>
      </c>
    </row>
    <row r="59">
      <c r="A59" s="30">
        <f>IF(Roster!$A59="","",Roster!$A59)</f>
        <v/>
      </c>
      <c r="B59" s="31">
        <f>IF(Roster!$B59="","",Roster!$C59&amp;" "&amp;Roster!$B59)</f>
        <v/>
      </c>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6">
        <f>IF(COUNT(C59:AQ59)=0,"",SUM(C59:AQ59))</f>
        <v/>
      </c>
    </row>
    <row r="60">
      <c r="A60" s="30">
        <f>IF(Roster!$A60="","",Roster!$A60)</f>
        <v/>
      </c>
      <c r="B60" s="31">
        <f>IF(Roster!$B60="","",Roster!$C60&amp;" "&amp;Roster!$B60)</f>
        <v/>
      </c>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6">
        <f>IF(COUNT(C60:AQ60)=0,"",SUM(C60:AQ60))</f>
        <v/>
      </c>
    </row>
    <row r="61">
      <c r="A61" s="30">
        <f>IF(Roster!$A61="","",Roster!$A61)</f>
        <v/>
      </c>
      <c r="B61" s="31">
        <f>IF(Roster!$B61="","",Roster!$C61&amp;" "&amp;Roster!$B61)</f>
        <v/>
      </c>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6">
        <f>IF(COUNT(C61:AQ61)=0,"",SUM(C61:AQ61))</f>
        <v/>
      </c>
    </row>
    <row r="62">
      <c r="A62" s="30">
        <f>IF(Roster!$A62="","",Roster!$A62)</f>
        <v/>
      </c>
      <c r="B62" s="31">
        <f>IF(Roster!$B62="","",Roster!$C62&amp;" "&amp;Roster!$B62)</f>
        <v/>
      </c>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6">
        <f>IF(COUNT(C62:AQ62)=0,"",SUM(C62:AQ62))</f>
        <v/>
      </c>
    </row>
    <row r="63">
      <c r="A63" s="30">
        <f>IF(Roster!$A63="","",Roster!$A63)</f>
        <v/>
      </c>
      <c r="B63" s="31">
        <f>IF(Roster!$B63="","",Roster!$C63&amp;" "&amp;Roster!$B63)</f>
        <v/>
      </c>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6">
        <f>IF(COUNT(C63:AQ63)=0,"",SUM(C63:AQ63))</f>
        <v/>
      </c>
    </row>
    <row r="64">
      <c r="A64" s="30">
        <f>IF(Roster!$A64="","",Roster!$A64)</f>
        <v/>
      </c>
      <c r="B64" s="31">
        <f>IF(Roster!$B64="","",Roster!$C64&amp;" "&amp;Roster!$B64)</f>
        <v/>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6">
        <f>IF(COUNT(C64:AQ64)=0,"",SUM(C64:AQ64))</f>
        <v/>
      </c>
    </row>
    <row r="65">
      <c r="A65" s="30">
        <f>IF(Roster!$A65="","",Roster!$A65)</f>
        <v/>
      </c>
      <c r="B65" s="31">
        <f>IF(Roster!$B65="","",Roster!$C65&amp;" "&amp;Roster!$B65)</f>
        <v/>
      </c>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6">
        <f>IF(COUNT(C65:AQ65)=0,"",SUM(C65:AQ65))</f>
        <v/>
      </c>
    </row>
    <row r="66">
      <c r="A66" s="30">
        <f>IF(Roster!$A66="","",Roster!$A66)</f>
        <v/>
      </c>
      <c r="B66" s="31">
        <f>IF(Roster!$B66="","",Roster!$C66&amp;" "&amp;Roster!$B66)</f>
        <v/>
      </c>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0" t="n"/>
      <c r="AL66" s="10" t="n"/>
      <c r="AM66" s="10" t="n"/>
      <c r="AN66" s="10" t="n"/>
      <c r="AO66" s="10" t="n"/>
      <c r="AP66" s="10" t="n"/>
      <c r="AQ66" s="10" t="n"/>
      <c r="AR66" s="10" t="n"/>
      <c r="AS66" s="16">
        <f>IF(COUNT(C66:AQ66)=0,"",SUM(C66:AQ66))</f>
        <v/>
      </c>
    </row>
    <row r="67">
      <c r="A67" s="30">
        <f>IF(Roster!$A67="","",Roster!$A67)</f>
        <v/>
      </c>
      <c r="B67" s="31">
        <f>IF(Roster!$B67="","",Roster!$C67&amp;" "&amp;Roster!$B67)</f>
        <v/>
      </c>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6">
        <f>IF(COUNT(C67:AQ67)=0,"",SUM(C67:AQ67))</f>
        <v/>
      </c>
    </row>
    <row r="68">
      <c r="A68" s="30">
        <f>IF(Roster!$A68="","",Roster!$A68)</f>
        <v/>
      </c>
      <c r="B68" s="31">
        <f>IF(Roster!$B68="","",Roster!$C68&amp;" "&amp;Roster!$B68)</f>
        <v/>
      </c>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6">
        <f>IF(COUNT(C68:AQ68)=0,"",SUM(C68:AQ68))</f>
        <v/>
      </c>
    </row>
    <row r="69">
      <c r="A69" s="30">
        <f>IF(Roster!$A69="","",Roster!$A69)</f>
        <v/>
      </c>
      <c r="B69" s="31">
        <f>IF(Roster!$B69="","",Roster!$C69&amp;" "&amp;Roster!$B69)</f>
        <v/>
      </c>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c r="AP69" s="10" t="n"/>
      <c r="AQ69" s="10" t="n"/>
      <c r="AR69" s="10" t="n"/>
      <c r="AS69" s="16">
        <f>IF(COUNT(C69:AQ69)=0,"",SUM(C69:AQ69))</f>
        <v/>
      </c>
    </row>
    <row r="70">
      <c r="A70" s="30">
        <f>IF(Roster!$A70="","",Roster!$A70)</f>
        <v/>
      </c>
      <c r="B70" s="31">
        <f>IF(Roster!$B70="","",Roster!$C70&amp;" "&amp;Roster!$B70)</f>
        <v/>
      </c>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16">
        <f>IF(COUNT(C70:AQ70)=0,"",SUM(C70:AQ70))</f>
        <v/>
      </c>
    </row>
    <row r="71">
      <c r="A71" s="30">
        <f>IF(Roster!$A71="","",Roster!$A71)</f>
        <v/>
      </c>
      <c r="B71" s="31">
        <f>IF(Roster!$B71="","",Roster!$C71&amp;" "&amp;Roster!$B71)</f>
        <v/>
      </c>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0" t="n"/>
      <c r="AN71" s="10" t="n"/>
      <c r="AO71" s="10" t="n"/>
      <c r="AP71" s="10" t="n"/>
      <c r="AQ71" s="10" t="n"/>
      <c r="AR71" s="10" t="n"/>
      <c r="AS71" s="16">
        <f>IF(COUNT(C71:AQ71)=0,"",SUM(C71:AQ71))</f>
        <v/>
      </c>
    </row>
    <row r="72">
      <c r="A72" s="30">
        <f>IF(Roster!$A72="","",Roster!$A72)</f>
        <v/>
      </c>
      <c r="B72" s="31">
        <f>IF(Roster!$B72="","",Roster!$C72&amp;" "&amp;Roster!$B72)</f>
        <v/>
      </c>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16">
        <f>IF(COUNT(C72:AQ72)=0,"",SUM(C72:AQ72))</f>
        <v/>
      </c>
    </row>
    <row r="73">
      <c r="A73" s="30">
        <f>IF(Roster!$A73="","",Roster!$A73)</f>
        <v/>
      </c>
      <c r="B73" s="31">
        <f>IF(Roster!$B73="","",Roster!$C73&amp;" "&amp;Roster!$B73)</f>
        <v/>
      </c>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6">
        <f>IF(COUNT(C73:AQ73)=0,"",SUM(C73:AQ73))</f>
        <v/>
      </c>
    </row>
    <row r="74">
      <c r="A74" s="30">
        <f>IF(Roster!$A74="","",Roster!$A74)</f>
        <v/>
      </c>
      <c r="B74" s="31">
        <f>IF(Roster!$B74="","",Roster!$C74&amp;" "&amp;Roster!$B74)</f>
        <v/>
      </c>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0" t="n"/>
      <c r="AL74" s="10" t="n"/>
      <c r="AM74" s="10" t="n"/>
      <c r="AN74" s="10" t="n"/>
      <c r="AO74" s="10" t="n"/>
      <c r="AP74" s="10" t="n"/>
      <c r="AQ74" s="10" t="n"/>
      <c r="AR74" s="10" t="n"/>
      <c r="AS74" s="16">
        <f>IF(COUNT(C74:AQ74)=0,"",SUM(C74:AQ74))</f>
        <v/>
      </c>
    </row>
    <row r="75">
      <c r="A75" s="30">
        <f>IF(Roster!$A75="","",Roster!$A75)</f>
        <v/>
      </c>
      <c r="B75" s="31">
        <f>IF(Roster!$B75="","",Roster!$C75&amp;" "&amp;Roster!$B75)</f>
        <v/>
      </c>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c r="AG75" s="10" t="n"/>
      <c r="AH75" s="10" t="n"/>
      <c r="AI75" s="10" t="n"/>
      <c r="AJ75" s="10" t="n"/>
      <c r="AK75" s="10" t="n"/>
      <c r="AL75" s="10" t="n"/>
      <c r="AM75" s="10" t="n"/>
      <c r="AN75" s="10" t="n"/>
      <c r="AO75" s="10" t="n"/>
      <c r="AP75" s="10" t="n"/>
      <c r="AQ75" s="10" t="n"/>
      <c r="AR75" s="10" t="n"/>
      <c r="AS75" s="16">
        <f>IF(COUNT(C75:AQ75)=0,"",SUM(C75:AQ75))</f>
        <v/>
      </c>
    </row>
    <row r="76">
      <c r="A76" s="30">
        <f>IF(Roster!$A76="","",Roster!$A76)</f>
        <v/>
      </c>
      <c r="B76" s="31">
        <f>IF(Roster!$B76="","",Roster!$C76&amp;" "&amp;Roster!$B76)</f>
        <v/>
      </c>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6">
        <f>IF(COUNT(C76:AQ76)=0,"",SUM(C76:AQ76))</f>
        <v/>
      </c>
    </row>
    <row r="77">
      <c r="A77" s="30">
        <f>IF(Roster!$A77="","",Roster!$A77)</f>
        <v/>
      </c>
      <c r="B77" s="31">
        <f>IF(Roster!$B77="","",Roster!$C77&amp;" "&amp;Roster!$B77)</f>
        <v/>
      </c>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0" t="n"/>
      <c r="AN77" s="10" t="n"/>
      <c r="AO77" s="10" t="n"/>
      <c r="AP77" s="10" t="n"/>
      <c r="AQ77" s="10" t="n"/>
      <c r="AR77" s="10" t="n"/>
      <c r="AS77" s="16">
        <f>IF(COUNT(C77:AQ77)=0,"",SUM(C77:AQ77))</f>
        <v/>
      </c>
    </row>
    <row r="78">
      <c r="A78" s="30">
        <f>IF(Roster!$A78="","",Roster!$A78)</f>
        <v/>
      </c>
      <c r="B78" s="31">
        <f>IF(Roster!$B78="","",Roster!$C78&amp;" "&amp;Roster!$B78)</f>
        <v/>
      </c>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6">
        <f>IF(COUNT(C78:AQ78)=0,"",SUM(C78:AQ78))</f>
        <v/>
      </c>
    </row>
    <row r="79">
      <c r="A79" s="30">
        <f>IF(Roster!$A79="","",Roster!$A79)</f>
        <v/>
      </c>
      <c r="B79" s="31">
        <f>IF(Roster!$B79="","",Roster!$C79&amp;" "&amp;Roster!$B79)</f>
        <v/>
      </c>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6">
        <f>IF(COUNT(C79:AQ79)=0,"",SUM(C79:AQ79))</f>
        <v/>
      </c>
    </row>
    <row r="80">
      <c r="A80" s="30">
        <f>IF(Roster!$A80="","",Roster!$A80)</f>
        <v/>
      </c>
      <c r="B80" s="31">
        <f>IF(Roster!$B80="","",Roster!$C80&amp;" "&amp;Roster!$B80)</f>
        <v/>
      </c>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6">
        <f>IF(COUNT(C80:AQ80)=0,"",SUM(C80:AQ80))</f>
        <v/>
      </c>
    </row>
    <row r="81">
      <c r="A81" s="30">
        <f>IF(Roster!$A81="","",Roster!$A81)</f>
        <v/>
      </c>
      <c r="B81" s="31">
        <f>IF(Roster!$B81="","",Roster!$C81&amp;" "&amp;Roster!$B81)</f>
        <v/>
      </c>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c r="AP81" s="10" t="n"/>
      <c r="AQ81" s="10" t="n"/>
      <c r="AR81" s="10" t="n"/>
      <c r="AS81" s="16">
        <f>IF(COUNT(C81:AQ81)=0,"",SUM(C81:AQ81))</f>
        <v/>
      </c>
    </row>
    <row r="82">
      <c r="A82" s="30">
        <f>IF(Roster!$A82="","",Roster!$A82)</f>
        <v/>
      </c>
      <c r="B82" s="31">
        <f>IF(Roster!$B82="","",Roster!$C82&amp;" "&amp;Roster!$B82)</f>
        <v/>
      </c>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6">
        <f>IF(COUNT(C82:AQ82)=0,"",SUM(C82:AQ82))</f>
        <v/>
      </c>
    </row>
    <row r="83">
      <c r="A83" s="30">
        <f>IF(Roster!$A83="","",Roster!$A83)</f>
        <v/>
      </c>
      <c r="B83" s="31">
        <f>IF(Roster!$B83="","",Roster!$C83&amp;" "&amp;Roster!$B83)</f>
        <v/>
      </c>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c r="AP83" s="10" t="n"/>
      <c r="AQ83" s="10" t="n"/>
      <c r="AR83" s="10" t="n"/>
      <c r="AS83" s="16">
        <f>IF(COUNT(C83:AQ83)=0,"",SUM(C83:AQ83))</f>
        <v/>
      </c>
    </row>
    <row r="84">
      <c r="A84" s="30">
        <f>IF(Roster!$A84="","",Roster!$A84)</f>
        <v/>
      </c>
      <c r="B84" s="31">
        <f>IF(Roster!$B84="","",Roster!$C84&amp;" "&amp;Roster!$B84)</f>
        <v/>
      </c>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c r="AP84" s="10" t="n"/>
      <c r="AQ84" s="10" t="n"/>
      <c r="AR84" s="10" t="n"/>
      <c r="AS84" s="16">
        <f>IF(COUNT(C84:AQ84)=0,"",SUM(C84:AQ84))</f>
        <v/>
      </c>
    </row>
    <row r="85">
      <c r="A85" s="30">
        <f>IF(Roster!$A85="","",Roster!$A85)</f>
        <v/>
      </c>
      <c r="B85" s="31">
        <f>IF(Roster!$B85="","",Roster!$C85&amp;" "&amp;Roster!$B85)</f>
        <v/>
      </c>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c r="AP85" s="10" t="n"/>
      <c r="AQ85" s="10" t="n"/>
      <c r="AR85" s="10" t="n"/>
      <c r="AS85" s="16">
        <f>IF(COUNT(C85:AQ85)=0,"",SUM(C85:AQ85))</f>
        <v/>
      </c>
    </row>
    <row r="86">
      <c r="A86" s="30">
        <f>IF(Roster!$A86="","",Roster!$A86)</f>
        <v/>
      </c>
      <c r="B86" s="31">
        <f>IF(Roster!$B86="","",Roster!$C86&amp;" "&amp;Roster!$B86)</f>
        <v/>
      </c>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6">
        <f>IF(COUNT(C86:AQ86)=0,"",SUM(C86:AQ86))</f>
        <v/>
      </c>
    </row>
    <row r="87">
      <c r="A87" s="30">
        <f>IF(Roster!$A87="","",Roster!$A87)</f>
        <v/>
      </c>
      <c r="B87" s="31">
        <f>IF(Roster!$B87="","",Roster!$C87&amp;" "&amp;Roster!$B87)</f>
        <v/>
      </c>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6">
        <f>IF(COUNT(C87:AQ87)=0,"",SUM(C87:AQ87))</f>
        <v/>
      </c>
    </row>
    <row r="88">
      <c r="A88" s="30">
        <f>IF(Roster!$A88="","",Roster!$A88)</f>
        <v/>
      </c>
      <c r="B88" s="31">
        <f>IF(Roster!$B88="","",Roster!$C88&amp;" "&amp;Roster!$B88)</f>
        <v/>
      </c>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6">
        <f>IF(COUNT(C88:AQ88)=0,"",SUM(C88:AQ88))</f>
        <v/>
      </c>
    </row>
    <row r="89">
      <c r="A89" s="30">
        <f>IF(Roster!$A89="","",Roster!$A89)</f>
        <v/>
      </c>
      <c r="B89" s="31">
        <f>IF(Roster!$B89="","",Roster!$C89&amp;" "&amp;Roster!$B89)</f>
        <v/>
      </c>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6">
        <f>IF(COUNT(C89:AQ89)=0,"",SUM(C89:AQ89))</f>
        <v/>
      </c>
    </row>
    <row r="90">
      <c r="A90" s="30">
        <f>IF(Roster!$A90="","",Roster!$A90)</f>
        <v/>
      </c>
      <c r="B90" s="31">
        <f>IF(Roster!$B90="","",Roster!$C90&amp;" "&amp;Roster!$B90)</f>
        <v/>
      </c>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c r="AP90" s="10" t="n"/>
      <c r="AQ90" s="10" t="n"/>
      <c r="AR90" s="10" t="n"/>
      <c r="AS90" s="16">
        <f>IF(COUNT(C90:AQ90)=0,"",SUM(C90:AQ90))</f>
        <v/>
      </c>
    </row>
    <row r="91">
      <c r="A91" s="30">
        <f>IF(Roster!$A91="","",Roster!$A91)</f>
        <v/>
      </c>
      <c r="B91" s="31">
        <f>IF(Roster!$B91="","",Roster!$C91&amp;" "&amp;Roster!$B91)</f>
        <v/>
      </c>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c r="AP91" s="10" t="n"/>
      <c r="AQ91" s="10" t="n"/>
      <c r="AR91" s="10" t="n"/>
      <c r="AS91" s="16">
        <f>IF(COUNT(C91:AQ91)=0,"",SUM(C91:AQ91))</f>
        <v/>
      </c>
    </row>
    <row r="92">
      <c r="A92" s="30">
        <f>IF(Roster!$A92="","",Roster!$A92)</f>
        <v/>
      </c>
      <c r="B92" s="31">
        <f>IF(Roster!$B92="","",Roster!$C92&amp;" "&amp;Roster!$B92)</f>
        <v/>
      </c>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6">
        <f>IF(COUNT(C92:AQ92)=0,"",SUM(C92:AQ92))</f>
        <v/>
      </c>
    </row>
    <row r="93">
      <c r="A93" s="30">
        <f>IF(Roster!$A93="","",Roster!$A93)</f>
        <v/>
      </c>
      <c r="B93" s="31">
        <f>IF(Roster!$B93="","",Roster!$C93&amp;" "&amp;Roster!$B93)</f>
        <v/>
      </c>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6">
        <f>IF(COUNT(C93:AQ93)=0,"",SUM(C93:AQ93))</f>
        <v/>
      </c>
    </row>
    <row r="94">
      <c r="A94" s="30">
        <f>IF(Roster!$A94="","",Roster!$A94)</f>
        <v/>
      </c>
      <c r="B94" s="31">
        <f>IF(Roster!$B94="","",Roster!$C94&amp;" "&amp;Roster!$B94)</f>
        <v/>
      </c>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c r="AP94" s="10" t="n"/>
      <c r="AQ94" s="10" t="n"/>
      <c r="AR94" s="10" t="n"/>
      <c r="AS94" s="16">
        <f>IF(COUNT(C94:AQ94)=0,"",SUM(C94:AQ94))</f>
        <v/>
      </c>
    </row>
    <row r="95">
      <c r="A95" s="30">
        <f>IF(Roster!$A95="","",Roster!$A95)</f>
        <v/>
      </c>
      <c r="B95" s="31">
        <f>IF(Roster!$B95="","",Roster!$C95&amp;" "&amp;Roster!$B95)</f>
        <v/>
      </c>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6">
        <f>IF(COUNT(C95:AQ95)=0,"",SUM(C95:AQ95))</f>
        <v/>
      </c>
    </row>
    <row r="96">
      <c r="A96" s="30">
        <f>IF(Roster!$A96="","",Roster!$A96)</f>
        <v/>
      </c>
      <c r="B96" s="31">
        <f>IF(Roster!$B96="","",Roster!$C96&amp;" "&amp;Roster!$B96)</f>
        <v/>
      </c>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6">
        <f>IF(COUNT(C96:AQ96)=0,"",SUM(C96:AQ96))</f>
        <v/>
      </c>
    </row>
    <row r="97">
      <c r="A97" s="30">
        <f>IF(Roster!$A97="","",Roster!$A97)</f>
        <v/>
      </c>
      <c r="B97" s="31">
        <f>IF(Roster!$B97="","",Roster!$C97&amp;" "&amp;Roster!$B97)</f>
        <v/>
      </c>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c r="AP97" s="10" t="n"/>
      <c r="AQ97" s="10" t="n"/>
      <c r="AR97" s="10" t="n"/>
      <c r="AS97" s="16">
        <f>IF(COUNT(C97:AQ97)=0,"",SUM(C97:AQ97))</f>
        <v/>
      </c>
    </row>
    <row r="98">
      <c r="A98" s="30">
        <f>IF(Roster!$A98="","",Roster!$A98)</f>
        <v/>
      </c>
      <c r="B98" s="31">
        <f>IF(Roster!$B98="","",Roster!$C98&amp;" "&amp;Roster!$B98)</f>
        <v/>
      </c>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16">
        <f>IF(COUNT(C98:AQ98)=0,"",SUM(C98:AQ98))</f>
        <v/>
      </c>
    </row>
    <row r="99">
      <c r="A99" s="30">
        <f>IF(Roster!$A99="","",Roster!$A99)</f>
        <v/>
      </c>
      <c r="B99" s="31">
        <f>IF(Roster!$B99="","",Roster!$C99&amp;" "&amp;Roster!$B99)</f>
        <v/>
      </c>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16">
        <f>IF(COUNT(C99:AQ99)=0,"",SUM(C99:AQ99))</f>
        <v/>
      </c>
    </row>
    <row r="100">
      <c r="A100" s="30">
        <f>IF(Roster!$A100="","",Roster!$A100)</f>
        <v/>
      </c>
      <c r="B100" s="31">
        <f>IF(Roster!$B100="","",Roster!$C100&amp;" "&amp;Roster!$B100)</f>
        <v/>
      </c>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c r="AP100" s="10" t="n"/>
      <c r="AQ100" s="10" t="n"/>
      <c r="AR100" s="10" t="n"/>
      <c r="AS100" s="16">
        <f>IF(COUNT(C100:AQ100)=0,"",SUM(C100:AQ100))</f>
        <v/>
      </c>
    </row>
    <row r="101">
      <c r="A101" s="30">
        <f>IF(Roster!$A101="","",Roster!$A101)</f>
        <v/>
      </c>
      <c r="B101" s="31">
        <f>IF(Roster!$B101="","",Roster!$C101&amp;" "&amp;Roster!$B101)</f>
        <v/>
      </c>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6">
        <f>IF(COUNT(C101:AQ101)=0,"",SUM(C101:AQ101))</f>
        <v/>
      </c>
    </row>
    <row r="102">
      <c r="A102" s="30">
        <f>IF(Roster!$A102="","",Roster!$A102)</f>
        <v/>
      </c>
      <c r="B102" s="31">
        <f>IF(Roster!$B102="","",Roster!$C102&amp;" "&amp;Roster!$B102)</f>
        <v/>
      </c>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6">
        <f>IF(COUNT(C102:AQ102)=0,"",SUM(C102:AQ102))</f>
        <v/>
      </c>
    </row>
    <row r="103">
      <c r="A103" s="30">
        <f>IF(Roster!$A103="","",Roster!$A103)</f>
        <v/>
      </c>
      <c r="B103" s="31">
        <f>IF(Roster!$B103="","",Roster!$C103&amp;" "&amp;Roster!$B103)</f>
        <v/>
      </c>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6">
        <f>IF(COUNT(C103:AQ103)=0,"",SUM(C103:AQ103))</f>
        <v/>
      </c>
    </row>
    <row r="104">
      <c r="A104" s="30">
        <f>IF(Roster!$A104="","",Roster!$A104)</f>
        <v/>
      </c>
      <c r="B104" s="31">
        <f>IF(Roster!$B104="","",Roster!$C104&amp;" "&amp;Roster!$B104)</f>
        <v/>
      </c>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c r="AP104" s="10" t="n"/>
      <c r="AQ104" s="10" t="n"/>
      <c r="AR104" s="10" t="n"/>
      <c r="AS104" s="16">
        <f>IF(COUNT(C104:AQ104)=0,"",SUM(C104:AQ104))</f>
        <v/>
      </c>
    </row>
    <row r="105">
      <c r="A105" s="30">
        <f>IF(Roster!$A105="","",Roster!$A105)</f>
        <v/>
      </c>
      <c r="B105" s="31">
        <f>IF(Roster!$B105="","",Roster!$C105&amp;" "&amp;Roster!$B105)</f>
        <v/>
      </c>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6">
        <f>IF(COUNT(C105:AQ105)=0,"",SUM(C105:AQ105))</f>
        <v/>
      </c>
    </row>
    <row r="106">
      <c r="A106" s="30">
        <f>IF(Roster!$A106="","",Roster!$A106)</f>
        <v/>
      </c>
      <c r="B106" s="31">
        <f>IF(Roster!$B106="","",Roster!$C106&amp;" "&amp;Roster!$B106)</f>
        <v/>
      </c>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6">
        <f>IF(COUNT(C106:AQ106)=0,"",SUM(C106:AQ106))</f>
        <v/>
      </c>
    </row>
    <row r="107">
      <c r="A107" s="30">
        <f>IF(Roster!$A107="","",Roster!$A107)</f>
        <v/>
      </c>
      <c r="B107" s="31">
        <f>IF(Roster!$B107="","",Roster!$C107&amp;" "&amp;Roster!$B107)</f>
        <v/>
      </c>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6">
        <f>IF(COUNT(C107:AQ107)=0,"",SUM(C107:AQ107))</f>
        <v/>
      </c>
    </row>
    <row r="108">
      <c r="A108" s="30">
        <f>IF(Roster!$A108="","",Roster!$A108)</f>
        <v/>
      </c>
      <c r="B108" s="31">
        <f>IF(Roster!$B108="","",Roster!$C108&amp;" "&amp;Roster!$B108)</f>
        <v/>
      </c>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6">
        <f>IF(COUNT(C108:AQ108)=0,"",SUM(C108:AQ108))</f>
        <v/>
      </c>
    </row>
    <row r="109">
      <c r="A109" s="30">
        <f>IF(Roster!$A109="","",Roster!$A109)</f>
        <v/>
      </c>
      <c r="B109" s="31">
        <f>IF(Roster!$B109="","",Roster!$C109&amp;" "&amp;Roster!$B109)</f>
        <v/>
      </c>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6">
        <f>IF(COUNT(C109:AQ109)=0,"",SUM(C109:AQ109))</f>
        <v/>
      </c>
    </row>
    <row r="110">
      <c r="A110" s="30">
        <f>IF(Roster!$A110="","",Roster!$A110)</f>
        <v/>
      </c>
      <c r="B110" s="31">
        <f>IF(Roster!$B110="","",Roster!$C110&amp;" "&amp;Roster!$B110)</f>
        <v/>
      </c>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c r="AP110" s="10" t="n"/>
      <c r="AQ110" s="10" t="n"/>
      <c r="AR110" s="10" t="n"/>
      <c r="AS110" s="16">
        <f>IF(COUNT(C110:AQ110)=0,"",SUM(C110:AQ110))</f>
        <v/>
      </c>
    </row>
    <row r="111">
      <c r="A111" s="30">
        <f>IF(Roster!$A111="","",Roster!$A111)</f>
        <v/>
      </c>
      <c r="B111" s="31">
        <f>IF(Roster!$B111="","",Roster!$C111&amp;" "&amp;Roster!$B111)</f>
        <v/>
      </c>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6">
        <f>IF(COUNT(C111:AQ111)=0,"",SUM(C111:AQ111))</f>
        <v/>
      </c>
    </row>
    <row r="112">
      <c r="A112" s="30">
        <f>IF(Roster!$A112="","",Roster!$A112)</f>
        <v/>
      </c>
      <c r="B112" s="31">
        <f>IF(Roster!$B112="","",Roster!$C112&amp;" "&amp;Roster!$B112)</f>
        <v/>
      </c>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c r="AP112" s="10" t="n"/>
      <c r="AQ112" s="10" t="n"/>
      <c r="AR112" s="10" t="n"/>
      <c r="AS112" s="16">
        <f>IF(COUNT(C112:AQ112)=0,"",SUM(C112:AQ112))</f>
        <v/>
      </c>
    </row>
    <row r="113">
      <c r="A113" s="30">
        <f>IF(Roster!$A113="","",Roster!$A113)</f>
        <v/>
      </c>
      <c r="B113" s="31">
        <f>IF(Roster!$B113="","",Roster!$C113&amp;" "&amp;Roster!$B113)</f>
        <v/>
      </c>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6">
        <f>IF(COUNT(C113:AQ113)=0,"",SUM(C113:AQ113))</f>
        <v/>
      </c>
    </row>
    <row r="114">
      <c r="A114" s="30">
        <f>IF(Roster!$A114="","",Roster!$A114)</f>
        <v/>
      </c>
      <c r="B114" s="31">
        <f>IF(Roster!$B114="","",Roster!$C114&amp;" "&amp;Roster!$B114)</f>
        <v/>
      </c>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c r="AP114" s="10" t="n"/>
      <c r="AQ114" s="10" t="n"/>
      <c r="AR114" s="10" t="n"/>
      <c r="AS114" s="16">
        <f>IF(COUNT(C114:AQ114)=0,"",SUM(C114:AQ114))</f>
        <v/>
      </c>
    </row>
    <row r="115">
      <c r="A115" s="30">
        <f>IF(Roster!$A115="","",Roster!$A115)</f>
        <v/>
      </c>
      <c r="B115" s="31">
        <f>IF(Roster!$B115="","",Roster!$C115&amp;" "&amp;Roster!$B115)</f>
        <v/>
      </c>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6">
        <f>IF(COUNT(C115:AQ115)=0,"",SUM(C115:AQ115))</f>
        <v/>
      </c>
    </row>
    <row r="116">
      <c r="A116" s="30">
        <f>IF(Roster!$A116="","",Roster!$A116)</f>
        <v/>
      </c>
      <c r="B116" s="31">
        <f>IF(Roster!$B116="","",Roster!$C116&amp;" "&amp;Roster!$B116)</f>
        <v/>
      </c>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6">
        <f>IF(COUNT(C116:AQ116)=0,"",SUM(C116:AQ116))</f>
        <v/>
      </c>
    </row>
    <row r="117">
      <c r="A117" s="30">
        <f>IF(Roster!$A117="","",Roster!$A117)</f>
        <v/>
      </c>
      <c r="B117" s="31">
        <f>IF(Roster!$B117="","",Roster!$C117&amp;" "&amp;Roster!$B117)</f>
        <v/>
      </c>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6">
        <f>IF(COUNT(C117:AQ117)=0,"",SUM(C117:AQ117))</f>
        <v/>
      </c>
    </row>
    <row r="118">
      <c r="A118" s="30">
        <f>IF(Roster!$A118="","",Roster!$A118)</f>
        <v/>
      </c>
      <c r="B118" s="31">
        <f>IF(Roster!$B118="","",Roster!$C118&amp;" "&amp;Roster!$B118)</f>
        <v/>
      </c>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6">
        <f>IF(COUNT(C118:AQ118)=0,"",SUM(C118:AQ118))</f>
        <v/>
      </c>
    </row>
    <row r="119">
      <c r="A119" s="30">
        <f>IF(Roster!$A119="","",Roster!$A119)</f>
        <v/>
      </c>
      <c r="B119" s="31">
        <f>IF(Roster!$B119="","",Roster!$C119&amp;" "&amp;Roster!$B119)</f>
        <v/>
      </c>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6">
        <f>IF(COUNT(C119:AQ119)=0,"",SUM(C119:AQ119))</f>
        <v/>
      </c>
    </row>
    <row r="120">
      <c r="A120" s="30">
        <f>IF(Roster!$A120="","",Roster!$A120)</f>
        <v/>
      </c>
      <c r="B120" s="31">
        <f>IF(Roster!$B120="","",Roster!$C120&amp;" "&amp;Roster!$B120)</f>
        <v/>
      </c>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c r="AP120" s="10" t="n"/>
      <c r="AQ120" s="10" t="n"/>
      <c r="AR120" s="10" t="n"/>
      <c r="AS120" s="16">
        <f>IF(COUNT(C120:AQ120)=0,"",SUM(C120:AQ120))</f>
        <v/>
      </c>
    </row>
    <row r="121">
      <c r="A121" s="30">
        <f>IF(Roster!$A121="","",Roster!$A121)</f>
        <v/>
      </c>
      <c r="B121" s="31">
        <f>IF(Roster!$B121="","",Roster!$C121&amp;" "&amp;Roster!$B121)</f>
        <v/>
      </c>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6">
        <f>IF(COUNT(C121:AQ121)=0,"",SUM(C121:AQ121))</f>
        <v/>
      </c>
    </row>
    <row r="122">
      <c r="A122" s="30">
        <f>IF(Roster!$A122="","",Roster!$A122)</f>
        <v/>
      </c>
      <c r="B122" s="31">
        <f>IF(Roster!$B122="","",Roster!$C122&amp;" "&amp;Roster!$B122)</f>
        <v/>
      </c>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6">
        <f>IF(COUNT(C122:AQ122)=0,"",SUM(C122:AQ122))</f>
        <v/>
      </c>
    </row>
    <row r="123">
      <c r="A123" s="30">
        <f>IF(Roster!$A123="","",Roster!$A123)</f>
        <v/>
      </c>
      <c r="B123" s="31">
        <f>IF(Roster!$B123="","",Roster!$C123&amp;" "&amp;Roster!$B123)</f>
        <v/>
      </c>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6">
        <f>IF(COUNT(C123:AQ123)=0,"",SUM(C123:AQ123))</f>
        <v/>
      </c>
    </row>
    <row r="124">
      <c r="A124" s="30">
        <f>IF(Roster!$A124="","",Roster!$A124)</f>
        <v/>
      </c>
      <c r="B124" s="31">
        <f>IF(Roster!$B124="","",Roster!$C124&amp;" "&amp;Roster!$B124)</f>
        <v/>
      </c>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c r="AP124" s="10" t="n"/>
      <c r="AQ124" s="10" t="n"/>
      <c r="AR124" s="10" t="n"/>
      <c r="AS124" s="16">
        <f>IF(COUNT(C124:AQ124)=0,"",SUM(C124:AQ124))</f>
        <v/>
      </c>
    </row>
    <row r="125">
      <c r="A125" s="30">
        <f>IF(Roster!$A125="","",Roster!$A125)</f>
        <v/>
      </c>
      <c r="B125" s="31">
        <f>IF(Roster!$B125="","",Roster!$C125&amp;" "&amp;Roster!$B125)</f>
        <v/>
      </c>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6">
        <f>IF(COUNT(C125:AQ125)=0,"",SUM(C125:AQ125))</f>
        <v/>
      </c>
    </row>
    <row r="126">
      <c r="A126" s="30">
        <f>IF(Roster!$A126="","",Roster!$A126)</f>
        <v/>
      </c>
      <c r="B126" s="31">
        <f>IF(Roster!$B126="","",Roster!$C126&amp;" "&amp;Roster!$B126)</f>
        <v/>
      </c>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6">
        <f>IF(COUNT(C126:AQ126)=0,"",SUM(C126:AQ126))</f>
        <v/>
      </c>
    </row>
    <row r="127">
      <c r="A127" s="30">
        <f>IF(Roster!$A127="","",Roster!$A127)</f>
        <v/>
      </c>
      <c r="B127" s="31">
        <f>IF(Roster!$B127="","",Roster!$C127&amp;" "&amp;Roster!$B127)</f>
        <v/>
      </c>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6">
        <f>IF(COUNT(C127:AQ127)=0,"",SUM(C127:AQ127))</f>
        <v/>
      </c>
    </row>
    <row r="128">
      <c r="A128" s="30">
        <f>IF(Roster!$A128="","",Roster!$A128)</f>
        <v/>
      </c>
      <c r="B128" s="31">
        <f>IF(Roster!$B128="","",Roster!$C128&amp;" "&amp;Roster!$B128)</f>
        <v/>
      </c>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c r="AP128" s="10" t="n"/>
      <c r="AQ128" s="10" t="n"/>
      <c r="AR128" s="10" t="n"/>
      <c r="AS128" s="16">
        <f>IF(COUNT(C128:AQ128)=0,"",SUM(C128:AQ128))</f>
        <v/>
      </c>
    </row>
    <row r="129">
      <c r="A129" s="30">
        <f>IF(Roster!$A129="","",Roster!$A129)</f>
        <v/>
      </c>
      <c r="B129" s="31">
        <f>IF(Roster!$B129="","",Roster!$C129&amp;" "&amp;Roster!$B129)</f>
        <v/>
      </c>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6">
        <f>IF(COUNT(C129:AQ129)=0,"",SUM(C129:AQ129))</f>
        <v/>
      </c>
    </row>
    <row r="130">
      <c r="A130" s="30">
        <f>IF(Roster!$A130="","",Roster!$A130)</f>
        <v/>
      </c>
      <c r="B130" s="31">
        <f>IF(Roster!$B130="","",Roster!$C130&amp;" "&amp;Roster!$B130)</f>
        <v/>
      </c>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c r="AP130" s="10" t="n"/>
      <c r="AQ130" s="10" t="n"/>
      <c r="AR130" s="10" t="n"/>
      <c r="AS130" s="16">
        <f>IF(COUNT(C130:AQ130)=0,"",SUM(C130:AQ130))</f>
        <v/>
      </c>
    </row>
    <row r="131">
      <c r="A131" s="30">
        <f>IF(Roster!$A131="","",Roster!$A131)</f>
        <v/>
      </c>
      <c r="B131" s="31">
        <f>IF(Roster!$B131="","",Roster!$C131&amp;" "&amp;Roster!$B131)</f>
        <v/>
      </c>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6">
        <f>IF(COUNT(C131:AQ131)=0,"",SUM(C131:AQ131))</f>
        <v/>
      </c>
    </row>
    <row r="132">
      <c r="A132" s="30">
        <f>IF(Roster!$A132="","",Roster!$A132)</f>
        <v/>
      </c>
      <c r="B132" s="31">
        <f>IF(Roster!$B132="","",Roster!$C132&amp;" "&amp;Roster!$B132)</f>
        <v/>
      </c>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6">
        <f>IF(COUNT(C132:AQ132)=0,"",SUM(C132:AQ132))</f>
        <v/>
      </c>
    </row>
    <row r="133">
      <c r="A133" s="30">
        <f>IF(Roster!$A133="","",Roster!$A133)</f>
        <v/>
      </c>
      <c r="B133" s="31">
        <f>IF(Roster!$B133="","",Roster!$C133&amp;" "&amp;Roster!$B133)</f>
        <v/>
      </c>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6">
        <f>IF(COUNT(C133:AQ133)=0,"",SUM(C133:AQ133))</f>
        <v/>
      </c>
    </row>
    <row r="134">
      <c r="A134" s="30">
        <f>IF(Roster!$A134="","",Roster!$A134)</f>
        <v/>
      </c>
      <c r="B134" s="31">
        <f>IF(Roster!$B134="","",Roster!$C134&amp;" "&amp;Roster!$B134)</f>
        <v/>
      </c>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c r="AP134" s="10" t="n"/>
      <c r="AQ134" s="10" t="n"/>
      <c r="AR134" s="10" t="n"/>
      <c r="AS134" s="16">
        <f>IF(COUNT(C134:AQ134)=0,"",SUM(C134:AQ134))</f>
        <v/>
      </c>
    </row>
    <row r="135">
      <c r="A135" s="30">
        <f>IF(Roster!$A135="","",Roster!$A135)</f>
        <v/>
      </c>
      <c r="B135" s="31">
        <f>IF(Roster!$B135="","",Roster!$C135&amp;" "&amp;Roster!$B135)</f>
        <v/>
      </c>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6">
        <f>IF(COUNT(C135:AQ135)=0,"",SUM(C135:AQ135))</f>
        <v/>
      </c>
    </row>
    <row r="136">
      <c r="A136" s="30">
        <f>IF(Roster!$A136="","",Roster!$A136)</f>
        <v/>
      </c>
      <c r="B136" s="31">
        <f>IF(Roster!$B136="","",Roster!$C136&amp;" "&amp;Roster!$B136)</f>
        <v/>
      </c>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c r="AP136" s="10" t="n"/>
      <c r="AQ136" s="10" t="n"/>
      <c r="AR136" s="10" t="n"/>
      <c r="AS136" s="16">
        <f>IF(COUNT(C136:AQ136)=0,"",SUM(C136:AQ136))</f>
        <v/>
      </c>
    </row>
    <row r="137">
      <c r="A137" s="30">
        <f>IF(Roster!$A137="","",Roster!$A137)</f>
        <v/>
      </c>
      <c r="B137" s="31">
        <f>IF(Roster!$B137="","",Roster!$C137&amp;" "&amp;Roster!$B137)</f>
        <v/>
      </c>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6">
        <f>IF(COUNT(C137:AQ137)=0,"",SUM(C137:AQ137))</f>
        <v/>
      </c>
    </row>
    <row r="138">
      <c r="A138" s="30">
        <f>IF(Roster!$A138="","",Roster!$A138)</f>
        <v/>
      </c>
      <c r="B138" s="31">
        <f>IF(Roster!$B138="","",Roster!$C138&amp;" "&amp;Roster!$B138)</f>
        <v/>
      </c>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c r="AP138" s="10" t="n"/>
      <c r="AQ138" s="10" t="n"/>
      <c r="AR138" s="10" t="n"/>
      <c r="AS138" s="16">
        <f>IF(COUNT(C138:AQ138)=0,"",SUM(C138:AQ138))</f>
        <v/>
      </c>
    </row>
    <row r="139">
      <c r="A139" s="30">
        <f>IF(Roster!$A139="","",Roster!$A139)</f>
        <v/>
      </c>
      <c r="B139" s="31">
        <f>IF(Roster!$B139="","",Roster!$C139&amp;" "&amp;Roster!$B139)</f>
        <v/>
      </c>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c r="AP139" s="10" t="n"/>
      <c r="AQ139" s="10" t="n"/>
      <c r="AR139" s="10" t="n"/>
      <c r="AS139" s="16">
        <f>IF(COUNT(C139:AQ139)=0,"",SUM(C139:AQ139))</f>
        <v/>
      </c>
    </row>
    <row r="140">
      <c r="A140" s="30">
        <f>IF(Roster!$A140="","",Roster!$A140)</f>
        <v/>
      </c>
      <c r="B140" s="31">
        <f>IF(Roster!$B140="","",Roster!$C140&amp;" "&amp;Roster!$B140)</f>
        <v/>
      </c>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c r="AH140" s="10" t="n"/>
      <c r="AI140" s="10" t="n"/>
      <c r="AJ140" s="10" t="n"/>
      <c r="AK140" s="10" t="n"/>
      <c r="AL140" s="10" t="n"/>
      <c r="AM140" s="10" t="n"/>
      <c r="AN140" s="10" t="n"/>
      <c r="AO140" s="10" t="n"/>
      <c r="AP140" s="10" t="n"/>
      <c r="AQ140" s="10" t="n"/>
      <c r="AR140" s="10" t="n"/>
      <c r="AS140" s="16">
        <f>IF(COUNT(C140:AQ140)=0,"",SUM(C140:AQ140))</f>
        <v/>
      </c>
    </row>
    <row r="141">
      <c r="A141" s="30">
        <f>IF(Roster!$A141="","",Roster!$A141)</f>
        <v/>
      </c>
      <c r="B141" s="31">
        <f>IF(Roster!$B141="","",Roster!$C141&amp;" "&amp;Roster!$B141)</f>
        <v/>
      </c>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6">
        <f>IF(COUNT(C141:AQ141)=0,"",SUM(C141:AQ141))</f>
        <v/>
      </c>
    </row>
    <row r="142">
      <c r="A142" s="30">
        <f>IF(Roster!$A142="","",Roster!$A142)</f>
        <v/>
      </c>
      <c r="B142" s="31">
        <f>IF(Roster!$B142="","",Roster!$C142&amp;" "&amp;Roster!$B142)</f>
        <v/>
      </c>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0" t="n"/>
      <c r="AL142" s="10" t="n"/>
      <c r="AM142" s="10" t="n"/>
      <c r="AN142" s="10" t="n"/>
      <c r="AO142" s="10" t="n"/>
      <c r="AP142" s="10" t="n"/>
      <c r="AQ142" s="10" t="n"/>
      <c r="AR142" s="10" t="n"/>
      <c r="AS142" s="16">
        <f>IF(COUNT(C142:AQ142)=0,"",SUM(C142:AQ142))</f>
        <v/>
      </c>
    </row>
    <row r="143">
      <c r="A143" s="30">
        <f>IF(Roster!$A143="","",Roster!$A143)</f>
        <v/>
      </c>
      <c r="B143" s="31">
        <f>IF(Roster!$B143="","",Roster!$C143&amp;" "&amp;Roster!$B143)</f>
        <v/>
      </c>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c r="AH143" s="10" t="n"/>
      <c r="AI143" s="10" t="n"/>
      <c r="AJ143" s="10" t="n"/>
      <c r="AK143" s="10" t="n"/>
      <c r="AL143" s="10" t="n"/>
      <c r="AM143" s="10" t="n"/>
      <c r="AN143" s="10" t="n"/>
      <c r="AO143" s="10" t="n"/>
      <c r="AP143" s="10" t="n"/>
      <c r="AQ143" s="10" t="n"/>
      <c r="AR143" s="10" t="n"/>
      <c r="AS143" s="16">
        <f>IF(COUNT(C143:AQ143)=0,"",SUM(C143:AQ143))</f>
        <v/>
      </c>
    </row>
    <row r="144">
      <c r="A144" s="30">
        <f>IF(Roster!$A144="","",Roster!$A144)</f>
        <v/>
      </c>
      <c r="B144" s="31">
        <f>IF(Roster!$B144="","",Roster!$C144&amp;" "&amp;Roster!$B144)</f>
        <v/>
      </c>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c r="AJ144" s="10" t="n"/>
      <c r="AK144" s="10" t="n"/>
      <c r="AL144" s="10" t="n"/>
      <c r="AM144" s="10" t="n"/>
      <c r="AN144" s="10" t="n"/>
      <c r="AO144" s="10" t="n"/>
      <c r="AP144" s="10" t="n"/>
      <c r="AQ144" s="10" t="n"/>
      <c r="AR144" s="10" t="n"/>
      <c r="AS144" s="16">
        <f>IF(COUNT(C144:AQ144)=0,"",SUM(C144:AQ144))</f>
        <v/>
      </c>
    </row>
    <row r="145">
      <c r="A145" s="30">
        <f>IF(Roster!$A145="","",Roster!$A145)</f>
        <v/>
      </c>
      <c r="B145" s="31">
        <f>IF(Roster!$B145="","",Roster!$C145&amp;" "&amp;Roster!$B145)</f>
        <v/>
      </c>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c r="AJ145" s="10" t="n"/>
      <c r="AK145" s="10" t="n"/>
      <c r="AL145" s="10" t="n"/>
      <c r="AM145" s="10" t="n"/>
      <c r="AN145" s="10" t="n"/>
      <c r="AO145" s="10" t="n"/>
      <c r="AP145" s="10" t="n"/>
      <c r="AQ145" s="10" t="n"/>
      <c r="AR145" s="10" t="n"/>
      <c r="AS145" s="16">
        <f>IF(COUNT(C145:AQ145)=0,"",SUM(C145:AQ145))</f>
        <v/>
      </c>
    </row>
    <row r="146">
      <c r="A146" s="30">
        <f>IF(Roster!$A146="","",Roster!$A146)</f>
        <v/>
      </c>
      <c r="B146" s="31">
        <f>IF(Roster!$B146="","",Roster!$C146&amp;" "&amp;Roster!$B146)</f>
        <v/>
      </c>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c r="AH146" s="10" t="n"/>
      <c r="AI146" s="10" t="n"/>
      <c r="AJ146" s="10" t="n"/>
      <c r="AK146" s="10" t="n"/>
      <c r="AL146" s="10" t="n"/>
      <c r="AM146" s="10" t="n"/>
      <c r="AN146" s="10" t="n"/>
      <c r="AO146" s="10" t="n"/>
      <c r="AP146" s="10" t="n"/>
      <c r="AQ146" s="10" t="n"/>
      <c r="AR146" s="10" t="n"/>
      <c r="AS146" s="16">
        <f>IF(COUNT(C146:AQ146)=0,"",SUM(C146:AQ146))</f>
        <v/>
      </c>
    </row>
    <row r="147">
      <c r="A147" s="30">
        <f>IF(Roster!$A147="","",Roster!$A147)</f>
        <v/>
      </c>
      <c r="B147" s="31">
        <f>IF(Roster!$B147="","",Roster!$C147&amp;" "&amp;Roster!$B147)</f>
        <v/>
      </c>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c r="AH147" s="10" t="n"/>
      <c r="AI147" s="10" t="n"/>
      <c r="AJ147" s="10" t="n"/>
      <c r="AK147" s="10" t="n"/>
      <c r="AL147" s="10" t="n"/>
      <c r="AM147" s="10" t="n"/>
      <c r="AN147" s="10" t="n"/>
      <c r="AO147" s="10" t="n"/>
      <c r="AP147" s="10" t="n"/>
      <c r="AQ147" s="10" t="n"/>
      <c r="AR147" s="10" t="n"/>
      <c r="AS147" s="16">
        <f>IF(COUNT(C147:AQ147)=0,"",SUM(C147:AQ147))</f>
        <v/>
      </c>
    </row>
    <row r="148">
      <c r="A148" s="30">
        <f>IF(Roster!$A148="","",Roster!$A148)</f>
        <v/>
      </c>
      <c r="B148" s="31">
        <f>IF(Roster!$B148="","",Roster!$C148&amp;" "&amp;Roster!$B148)</f>
        <v/>
      </c>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0" t="n"/>
      <c r="AL148" s="10" t="n"/>
      <c r="AM148" s="10" t="n"/>
      <c r="AN148" s="10" t="n"/>
      <c r="AO148" s="10" t="n"/>
      <c r="AP148" s="10" t="n"/>
      <c r="AQ148" s="10" t="n"/>
      <c r="AR148" s="10" t="n"/>
      <c r="AS148" s="16">
        <f>IF(COUNT(C148:AQ148)=0,"",SUM(C148:AQ148))</f>
        <v/>
      </c>
    </row>
    <row r="149">
      <c r="A149" s="30">
        <f>IF(Roster!$A149="","",Roster!$A149)</f>
        <v/>
      </c>
      <c r="B149" s="31">
        <f>IF(Roster!$B149="","",Roster!$C149&amp;" "&amp;Roster!$B149)</f>
        <v/>
      </c>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c r="AJ149" s="10" t="n"/>
      <c r="AK149" s="10" t="n"/>
      <c r="AL149" s="10" t="n"/>
      <c r="AM149" s="10" t="n"/>
      <c r="AN149" s="10" t="n"/>
      <c r="AO149" s="10" t="n"/>
      <c r="AP149" s="10" t="n"/>
      <c r="AQ149" s="10" t="n"/>
      <c r="AR149" s="10" t="n"/>
      <c r="AS149" s="16">
        <f>IF(COUNT(C149:AQ149)=0,"",SUM(C149:AQ149))</f>
        <v/>
      </c>
    </row>
    <row r="150">
      <c r="A150" s="30">
        <f>IF(Roster!$A150="","",Roster!$A150)</f>
        <v/>
      </c>
      <c r="B150" s="31">
        <f>IF(Roster!$B150="","",Roster!$C150&amp;" "&amp;Roster!$B150)</f>
        <v/>
      </c>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c r="AH150" s="10" t="n"/>
      <c r="AI150" s="10" t="n"/>
      <c r="AJ150" s="10" t="n"/>
      <c r="AK150" s="10" t="n"/>
      <c r="AL150" s="10" t="n"/>
      <c r="AM150" s="10" t="n"/>
      <c r="AN150" s="10" t="n"/>
      <c r="AO150" s="10" t="n"/>
      <c r="AP150" s="10" t="n"/>
      <c r="AQ150" s="10" t="n"/>
      <c r="AR150" s="10" t="n"/>
      <c r="AS150" s="16">
        <f>IF(COUNT(C150:AQ150)=0,"",SUM(C150:AQ150))</f>
        <v/>
      </c>
    </row>
    <row r="151">
      <c r="A151" s="30">
        <f>IF(Roster!$A151="","",Roster!$A151)</f>
        <v/>
      </c>
      <c r="B151" s="31">
        <f>IF(Roster!$B151="","",Roster!$C151&amp;" "&amp;Roster!$B151)</f>
        <v/>
      </c>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c r="AJ151" s="10" t="n"/>
      <c r="AK151" s="10" t="n"/>
      <c r="AL151" s="10" t="n"/>
      <c r="AM151" s="10" t="n"/>
      <c r="AN151" s="10" t="n"/>
      <c r="AO151" s="10" t="n"/>
      <c r="AP151" s="10" t="n"/>
      <c r="AQ151" s="10" t="n"/>
      <c r="AR151" s="10" t="n"/>
      <c r="AS151" s="16">
        <f>IF(COUNT(C151:AQ151)=0,"",SUM(C151:AQ151))</f>
        <v/>
      </c>
    </row>
    <row r="152">
      <c r="A152" s="30">
        <f>IF(Roster!$A152="","",Roster!$A152)</f>
        <v/>
      </c>
      <c r="B152" s="31">
        <f>IF(Roster!$B152="","",Roster!$C152&amp;" "&amp;Roster!$B152)</f>
        <v/>
      </c>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c r="AH152" s="10" t="n"/>
      <c r="AI152" s="10" t="n"/>
      <c r="AJ152" s="10" t="n"/>
      <c r="AK152" s="10" t="n"/>
      <c r="AL152" s="10" t="n"/>
      <c r="AM152" s="10" t="n"/>
      <c r="AN152" s="10" t="n"/>
      <c r="AO152" s="10" t="n"/>
      <c r="AP152" s="10" t="n"/>
      <c r="AQ152" s="10" t="n"/>
      <c r="AR152" s="10" t="n"/>
      <c r="AS152" s="16">
        <f>IF(COUNT(C152:AQ152)=0,"",SUM(C152:AQ152))</f>
        <v/>
      </c>
    </row>
    <row r="153">
      <c r="A153" s="30">
        <f>IF(Roster!$A153="","",Roster!$A153)</f>
        <v/>
      </c>
      <c r="B153" s="31">
        <f>IF(Roster!$B153="","",Roster!$C153&amp;" "&amp;Roster!$B153)</f>
        <v/>
      </c>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c r="AH153" s="10" t="n"/>
      <c r="AI153" s="10" t="n"/>
      <c r="AJ153" s="10" t="n"/>
      <c r="AK153" s="10" t="n"/>
      <c r="AL153" s="10" t="n"/>
      <c r="AM153" s="10" t="n"/>
      <c r="AN153" s="10" t="n"/>
      <c r="AO153" s="10" t="n"/>
      <c r="AP153" s="10" t="n"/>
      <c r="AQ153" s="10" t="n"/>
      <c r="AR153" s="10" t="n"/>
      <c r="AS153" s="16">
        <f>IF(COUNT(C153:AQ153)=0,"",SUM(C153:AQ153))</f>
        <v/>
      </c>
    </row>
    <row r="154">
      <c r="A154" s="30">
        <f>IF(Roster!$A154="","",Roster!$A154)</f>
        <v/>
      </c>
      <c r="B154" s="31">
        <f>IF(Roster!$B154="","",Roster!$C154&amp;" "&amp;Roster!$B154)</f>
        <v/>
      </c>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c r="AH154" s="10" t="n"/>
      <c r="AI154" s="10" t="n"/>
      <c r="AJ154" s="10" t="n"/>
      <c r="AK154" s="10" t="n"/>
      <c r="AL154" s="10" t="n"/>
      <c r="AM154" s="10" t="n"/>
      <c r="AN154" s="10" t="n"/>
      <c r="AO154" s="10" t="n"/>
      <c r="AP154" s="10" t="n"/>
      <c r="AQ154" s="10" t="n"/>
      <c r="AR154" s="10" t="n"/>
      <c r="AS154" s="16">
        <f>IF(COUNT(C154:AQ154)=0,"",SUM(C154:AQ154))</f>
        <v/>
      </c>
    </row>
    <row r="155">
      <c r="A155" s="30">
        <f>IF(Roster!$A155="","",Roster!$A155)</f>
        <v/>
      </c>
      <c r="B155" s="31">
        <f>IF(Roster!$B155="","",Roster!$C155&amp;" "&amp;Roster!$B155)</f>
        <v/>
      </c>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c r="AJ155" s="10" t="n"/>
      <c r="AK155" s="10" t="n"/>
      <c r="AL155" s="10" t="n"/>
      <c r="AM155" s="10" t="n"/>
      <c r="AN155" s="10" t="n"/>
      <c r="AO155" s="10" t="n"/>
      <c r="AP155" s="10" t="n"/>
      <c r="AQ155" s="10" t="n"/>
      <c r="AR155" s="10" t="n"/>
      <c r="AS155" s="16">
        <f>IF(COUNT(C155:AQ155)=0,"",SUM(C155:AQ155))</f>
        <v/>
      </c>
    </row>
  </sheetData>
  <mergeCells count="2">
    <mergeCell ref="A2:AS2"/>
    <mergeCell ref="A1:AS1"/>
  </mergeCells>
  <conditionalFormatting sqref="C6:AQ155">
    <cfRule type="expression" priority="1" dxfId="0">
      <formula>AND(C6&lt;&gt;"",C6&gt;C$4)</formula>
    </cfRule>
  </conditionalFormatting>
  <dataValidations count="1">
    <dataValidation sqref="AR6:AR155" showDropDown="0" showInputMessage="0" showErrorMessage="0" allowBlank="1" type="list">
      <formula1>"A,B,C,D,E"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S15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7.5" customWidth="1" min="41" max="41"/>
    <col width="7.5" customWidth="1" min="42" max="42"/>
    <col width="7.5" customWidth="1" min="43" max="43"/>
    <col width="11" customWidth="1" min="44" max="44"/>
    <col width="9" customWidth="1" min="45" max="45"/>
  </cols>
  <sheetData>
    <row r="1" ht="30" customHeight="1">
      <c r="A1" s="1" t="inlineStr">
        <is>
          <t>Post-Test Entry — FORM B</t>
        </is>
      </c>
    </row>
    <row r="2">
      <c r="A2" s="8" t="inlineStr">
        <is>
          <t>Enter POINTS EARNED for each item. Enter 0 for a wrong answer — a blank means 'not tested' and removes the student from the statistics. Row 3 shows the reporting category; row 4 shows the maximum points for the item.</t>
        </is>
      </c>
    </row>
    <row r="3">
      <c r="A3" s="26" t="inlineStr">
        <is>
          <t>Category →</t>
        </is>
      </c>
      <c r="C3" s="27" t="inlineStr">
        <is>
          <t>I-TEC</t>
        </is>
      </c>
      <c r="D3" s="27" t="inlineStr">
        <is>
          <t>I-TEC</t>
        </is>
      </c>
      <c r="E3" s="27" t="inlineStr">
        <is>
          <t>I-LNG</t>
        </is>
      </c>
      <c r="F3" s="27" t="inlineStr">
        <is>
          <t>I-CSS</t>
        </is>
      </c>
      <c r="G3" s="27" t="inlineStr">
        <is>
          <t>I-TEC</t>
        </is>
      </c>
      <c r="H3" s="27" t="inlineStr">
        <is>
          <t>I-TEC</t>
        </is>
      </c>
      <c r="I3" s="27" t="inlineStr">
        <is>
          <t>I-TEC</t>
        </is>
      </c>
      <c r="J3" s="27" t="inlineStr">
        <is>
          <t>I-TEC</t>
        </is>
      </c>
      <c r="K3" s="27" t="inlineStr">
        <is>
          <t>I-PRA</t>
        </is>
      </c>
      <c r="L3" s="27" t="inlineStr">
        <is>
          <t>I-PRA</t>
        </is>
      </c>
      <c r="M3" s="27" t="inlineStr">
        <is>
          <t>I-CSS</t>
        </is>
      </c>
      <c r="N3" s="27" t="inlineStr">
        <is>
          <t>I-TEC</t>
        </is>
      </c>
      <c r="O3" s="27" t="inlineStr">
        <is>
          <t>I-TEC</t>
        </is>
      </c>
      <c r="P3" s="27" t="inlineStr">
        <is>
          <t>I-LNG</t>
        </is>
      </c>
      <c r="Q3" s="27" t="inlineStr">
        <is>
          <t>I-LNG</t>
        </is>
      </c>
      <c r="R3" s="27" t="inlineStr">
        <is>
          <t>I-CSS</t>
        </is>
      </c>
      <c r="S3" s="27" t="inlineStr">
        <is>
          <t>I-TEC</t>
        </is>
      </c>
      <c r="T3" s="27" t="inlineStr">
        <is>
          <t>I-TEC</t>
        </is>
      </c>
      <c r="U3" s="27" t="inlineStr">
        <is>
          <t>I-LNG</t>
        </is>
      </c>
      <c r="V3" s="27" t="inlineStr">
        <is>
          <t>I-CSS</t>
        </is>
      </c>
      <c r="W3" s="27" t="inlineStr">
        <is>
          <t>I-LNG</t>
        </is>
      </c>
      <c r="X3" s="27" t="inlineStr">
        <is>
          <t>I-TEC</t>
        </is>
      </c>
      <c r="Y3" s="27" t="inlineStr">
        <is>
          <t>I-PRA</t>
        </is>
      </c>
      <c r="Z3" s="27" t="inlineStr">
        <is>
          <t>I-PRA</t>
        </is>
      </c>
      <c r="AA3" s="27" t="inlineStr">
        <is>
          <t>C-CSS</t>
        </is>
      </c>
      <c r="AB3" s="27" t="inlineStr">
        <is>
          <t>C-TEC</t>
        </is>
      </c>
      <c r="AC3" s="27" t="inlineStr">
        <is>
          <t>C-TEC</t>
        </is>
      </c>
      <c r="AD3" s="27" t="inlineStr">
        <is>
          <t>C-TEC</t>
        </is>
      </c>
      <c r="AE3" s="27" t="inlineStr">
        <is>
          <t>C-TEC</t>
        </is>
      </c>
      <c r="AF3" s="27" t="inlineStr">
        <is>
          <t>C-CSS</t>
        </is>
      </c>
      <c r="AG3" s="27" t="inlineStr">
        <is>
          <t>C-CSS</t>
        </is>
      </c>
      <c r="AH3" s="27" t="inlineStr">
        <is>
          <t>C-LNG</t>
        </is>
      </c>
      <c r="AI3" s="27" t="inlineStr">
        <is>
          <t>C-LNG</t>
        </is>
      </c>
      <c r="AJ3" s="27" t="inlineStr">
        <is>
          <t>C-LNG</t>
        </is>
      </c>
      <c r="AK3" s="27" t="inlineStr">
        <is>
          <t>C-LNG</t>
        </is>
      </c>
      <c r="AL3" s="27" t="inlineStr">
        <is>
          <t>C-LNG</t>
        </is>
      </c>
      <c r="AM3" s="27" t="inlineStr">
        <is>
          <t>C-TEC</t>
        </is>
      </c>
      <c r="AN3" s="27" t="inlineStr">
        <is>
          <t>C-CSS</t>
        </is>
      </c>
      <c r="AO3" s="27" t="inlineStr">
        <is>
          <t>C-CSS</t>
        </is>
      </c>
      <c r="AP3" s="27" t="inlineStr">
        <is>
          <t>C-TEC</t>
        </is>
      </c>
      <c r="AQ3" s="27" t="inlineStr">
        <is>
          <t>C-LNG</t>
        </is>
      </c>
    </row>
    <row r="4">
      <c r="A4" s="26" t="inlineStr">
        <is>
          <t>Max points →</t>
        </is>
      </c>
      <c r="C4" s="28" t="n">
        <v>1</v>
      </c>
      <c r="D4" s="28" t="n">
        <v>2</v>
      </c>
      <c r="E4" s="28" t="n">
        <v>1</v>
      </c>
      <c r="F4" s="28" t="n">
        <v>1</v>
      </c>
      <c r="G4" s="28" t="n">
        <v>1</v>
      </c>
      <c r="H4" s="28" t="n">
        <v>1</v>
      </c>
      <c r="I4" s="28" t="n">
        <v>2</v>
      </c>
      <c r="J4" s="28" t="n">
        <v>2</v>
      </c>
      <c r="K4" s="28" t="n">
        <v>1</v>
      </c>
      <c r="L4" s="28" t="n">
        <v>2</v>
      </c>
      <c r="M4" s="28" t="n">
        <v>1</v>
      </c>
      <c r="N4" s="28" t="n">
        <v>1</v>
      </c>
      <c r="O4" s="28" t="n">
        <v>1</v>
      </c>
      <c r="P4" s="28" t="n">
        <v>1</v>
      </c>
      <c r="Q4" s="28" t="n">
        <v>1</v>
      </c>
      <c r="R4" s="28" t="n">
        <v>2</v>
      </c>
      <c r="S4" s="28" t="n">
        <v>1</v>
      </c>
      <c r="T4" s="28" t="n">
        <v>2</v>
      </c>
      <c r="U4" s="28" t="n">
        <v>1</v>
      </c>
      <c r="V4" s="28" t="n">
        <v>2</v>
      </c>
      <c r="W4" s="28" t="n">
        <v>2</v>
      </c>
      <c r="X4" s="28" t="n">
        <v>2</v>
      </c>
      <c r="Y4" s="28" t="n">
        <v>1</v>
      </c>
      <c r="Z4" s="28" t="n">
        <v>2</v>
      </c>
      <c r="AA4" s="28" t="n">
        <v>1</v>
      </c>
      <c r="AB4" s="28" t="n">
        <v>1</v>
      </c>
      <c r="AC4" s="28" t="n">
        <v>2</v>
      </c>
      <c r="AD4" s="28" t="n">
        <v>2</v>
      </c>
      <c r="AE4" s="28" t="n">
        <v>1</v>
      </c>
      <c r="AF4" s="28" t="n">
        <v>2</v>
      </c>
      <c r="AG4" s="28" t="n">
        <v>1</v>
      </c>
      <c r="AH4" s="28" t="n">
        <v>1</v>
      </c>
      <c r="AI4" s="28" t="n">
        <v>2</v>
      </c>
      <c r="AJ4" s="28" t="n">
        <v>1</v>
      </c>
      <c r="AK4" s="28" t="n">
        <v>1</v>
      </c>
      <c r="AL4" s="28" t="n">
        <v>1</v>
      </c>
      <c r="AM4" s="28" t="n">
        <v>1</v>
      </c>
      <c r="AN4" s="28" t="n">
        <v>1</v>
      </c>
      <c r="AO4" s="28" t="n">
        <v>3</v>
      </c>
      <c r="AP4" s="28" t="n">
        <v>3</v>
      </c>
      <c r="AQ4" s="28" t="n">
        <v>2</v>
      </c>
      <c r="AS4" s="29">
        <f>SUM(C4:AQ4)</f>
        <v/>
      </c>
    </row>
    <row r="5">
      <c r="A5" s="15" t="inlineStr">
        <is>
          <t>Student ID</t>
        </is>
      </c>
      <c r="B5" s="15" t="inlineStr">
        <is>
          <t>Student Name</t>
        </is>
      </c>
      <c r="C5" s="15" t="inlineStr">
        <is>
          <t>Q1</t>
        </is>
      </c>
      <c r="D5" s="15" t="inlineStr">
        <is>
          <t>Q2</t>
        </is>
      </c>
      <c r="E5" s="15" t="inlineStr">
        <is>
          <t>Q3</t>
        </is>
      </c>
      <c r="F5" s="15" t="inlineStr">
        <is>
          <t>Q4</t>
        </is>
      </c>
      <c r="G5" s="15" t="inlineStr">
        <is>
          <t>Q5</t>
        </is>
      </c>
      <c r="H5" s="15" t="inlineStr">
        <is>
          <t>Q6</t>
        </is>
      </c>
      <c r="I5" s="15" t="inlineStr">
        <is>
          <t>Q7</t>
        </is>
      </c>
      <c r="J5" s="15" t="inlineStr">
        <is>
          <t>Q8</t>
        </is>
      </c>
      <c r="K5" s="15" t="inlineStr">
        <is>
          <t>Q9</t>
        </is>
      </c>
      <c r="L5" s="15" t="inlineStr">
        <is>
          <t>Q10</t>
        </is>
      </c>
      <c r="M5" s="15" t="inlineStr">
        <is>
          <t>Q11</t>
        </is>
      </c>
      <c r="N5" s="15" t="inlineStr">
        <is>
          <t>Q12</t>
        </is>
      </c>
      <c r="O5" s="15" t="inlineStr">
        <is>
          <t>Q13</t>
        </is>
      </c>
      <c r="P5" s="15" t="inlineStr">
        <is>
          <t>Q14</t>
        </is>
      </c>
      <c r="Q5" s="15" t="inlineStr">
        <is>
          <t>Q15</t>
        </is>
      </c>
      <c r="R5" s="15" t="inlineStr">
        <is>
          <t>Q16</t>
        </is>
      </c>
      <c r="S5" s="15" t="inlineStr">
        <is>
          <t>Q17</t>
        </is>
      </c>
      <c r="T5" s="15" t="inlineStr">
        <is>
          <t>Q18</t>
        </is>
      </c>
      <c r="U5" s="15" t="inlineStr">
        <is>
          <t>Q19</t>
        </is>
      </c>
      <c r="V5" s="15" t="inlineStr">
        <is>
          <t>Q20</t>
        </is>
      </c>
      <c r="W5" s="15" t="inlineStr">
        <is>
          <t>Q21</t>
        </is>
      </c>
      <c r="X5" s="15" t="inlineStr">
        <is>
          <t>Q22</t>
        </is>
      </c>
      <c r="Y5" s="15" t="inlineStr">
        <is>
          <t>Q23</t>
        </is>
      </c>
      <c r="Z5" s="15" t="inlineStr">
        <is>
          <t>Q24</t>
        </is>
      </c>
      <c r="AA5" s="15" t="inlineStr">
        <is>
          <t>Q25</t>
        </is>
      </c>
      <c r="AB5" s="15" t="inlineStr">
        <is>
          <t>Q26</t>
        </is>
      </c>
      <c r="AC5" s="15" t="inlineStr">
        <is>
          <t>Q27</t>
        </is>
      </c>
      <c r="AD5" s="15" t="inlineStr">
        <is>
          <t>Q28</t>
        </is>
      </c>
      <c r="AE5" s="15" t="inlineStr">
        <is>
          <t>Q29</t>
        </is>
      </c>
      <c r="AF5" s="15" t="inlineStr">
        <is>
          <t>Q30</t>
        </is>
      </c>
      <c r="AG5" s="15" t="inlineStr">
        <is>
          <t>Q31</t>
        </is>
      </c>
      <c r="AH5" s="15" t="inlineStr">
        <is>
          <t>Q32</t>
        </is>
      </c>
      <c r="AI5" s="15" t="inlineStr">
        <is>
          <t>Q33</t>
        </is>
      </c>
      <c r="AJ5" s="15" t="inlineStr">
        <is>
          <t>Q34</t>
        </is>
      </c>
      <c r="AK5" s="15" t="inlineStr">
        <is>
          <t>Q35</t>
        </is>
      </c>
      <c r="AL5" s="15" t="inlineStr">
        <is>
          <t>Q36</t>
        </is>
      </c>
      <c r="AM5" s="15" t="inlineStr">
        <is>
          <t>Q37</t>
        </is>
      </c>
      <c r="AN5" s="15" t="inlineStr">
        <is>
          <t>Q38</t>
        </is>
      </c>
      <c r="AO5" s="15" t="inlineStr">
        <is>
          <t>Q39_T1</t>
        </is>
      </c>
      <c r="AP5" s="15" t="inlineStr">
        <is>
          <t>Q39_T2</t>
        </is>
      </c>
      <c r="AQ5" s="15" t="inlineStr">
        <is>
          <t>Q39_T3</t>
        </is>
      </c>
      <c r="AR5" s="15" t="inlineStr">
        <is>
          <t>Essay Cond Code</t>
        </is>
      </c>
      <c r="AS5" s="15" t="inlineStr">
        <is>
          <t>TOTAL</t>
        </is>
      </c>
    </row>
    <row r="6">
      <c r="A6" s="30">
        <f>IF(Roster!$A6="","",Roster!$A6)</f>
        <v/>
      </c>
      <c r="B6" s="31">
        <f>IF(Roster!$B6="","",Roster!$C6&amp;" "&amp;Roster!$B6)</f>
        <v/>
      </c>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6">
        <f>IF(COUNT(C6:AQ6)=0,"",SUM(C6:AQ6))</f>
        <v/>
      </c>
    </row>
    <row r="7">
      <c r="A7" s="30">
        <f>IF(Roster!$A7="","",Roster!$A7)</f>
        <v/>
      </c>
      <c r="B7" s="31">
        <f>IF(Roster!$B7="","",Roster!$C7&amp;" "&amp;Roster!$B7)</f>
        <v/>
      </c>
      <c r="C7" s="10" t="n"/>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10" t="n"/>
      <c r="AS7" s="16">
        <f>IF(COUNT(C7:AQ7)=0,"",SUM(C7:AQ7))</f>
        <v/>
      </c>
    </row>
    <row r="8">
      <c r="A8" s="30">
        <f>IF(Roster!$A8="","",Roster!$A8)</f>
        <v/>
      </c>
      <c r="B8" s="31">
        <f>IF(Roster!$B8="","",Roster!$C8&amp;" "&amp;Roster!$B8)</f>
        <v/>
      </c>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10" t="n"/>
      <c r="AS8" s="16">
        <f>IF(COUNT(C8:AQ8)=0,"",SUM(C8:AQ8))</f>
        <v/>
      </c>
    </row>
    <row r="9">
      <c r="A9" s="30">
        <f>IF(Roster!$A9="","",Roster!$A9)</f>
        <v/>
      </c>
      <c r="B9" s="31">
        <f>IF(Roster!$B9="","",Roster!$C9&amp;" "&amp;Roster!$B9)</f>
        <v/>
      </c>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10" t="n"/>
      <c r="AS9" s="16">
        <f>IF(COUNT(C9:AQ9)=0,"",SUM(C9:AQ9))</f>
        <v/>
      </c>
    </row>
    <row r="10">
      <c r="A10" s="30">
        <f>IF(Roster!$A10="","",Roster!$A10)</f>
        <v/>
      </c>
      <c r="B10" s="31">
        <f>IF(Roster!$B10="","",Roster!$C10&amp;" "&amp;Roster!$B10)</f>
        <v/>
      </c>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6">
        <f>IF(COUNT(C10:AQ10)=0,"",SUM(C10:AQ10))</f>
        <v/>
      </c>
    </row>
    <row r="11">
      <c r="A11" s="30">
        <f>IF(Roster!$A11="","",Roster!$A11)</f>
        <v/>
      </c>
      <c r="B11" s="31">
        <f>IF(Roster!$B11="","",Roster!$C11&amp;" "&amp;Roster!$B11)</f>
        <v/>
      </c>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c r="AN11" s="10" t="n"/>
      <c r="AO11" s="10" t="n"/>
      <c r="AP11" s="10" t="n"/>
      <c r="AQ11" s="10" t="n"/>
      <c r="AR11" s="10" t="n"/>
      <c r="AS11" s="16">
        <f>IF(COUNT(C11:AQ11)=0,"",SUM(C11:AQ11))</f>
        <v/>
      </c>
    </row>
    <row r="12">
      <c r="A12" s="30">
        <f>IF(Roster!$A12="","",Roster!$A12)</f>
        <v/>
      </c>
      <c r="B12" s="31">
        <f>IF(Roster!$B12="","",Roster!$C12&amp;" "&amp;Roster!$B12)</f>
        <v/>
      </c>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6">
        <f>IF(COUNT(C12:AQ12)=0,"",SUM(C12:AQ12))</f>
        <v/>
      </c>
    </row>
    <row r="13">
      <c r="A13" s="30">
        <f>IF(Roster!$A13="","",Roster!$A13)</f>
        <v/>
      </c>
      <c r="B13" s="31">
        <f>IF(Roster!$B13="","",Roster!$C13&amp;" "&amp;Roster!$B13)</f>
        <v/>
      </c>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6">
        <f>IF(COUNT(C13:AQ13)=0,"",SUM(C13:AQ13))</f>
        <v/>
      </c>
    </row>
    <row r="14">
      <c r="A14" s="30">
        <f>IF(Roster!$A14="","",Roster!$A14)</f>
        <v/>
      </c>
      <c r="B14" s="31">
        <f>IF(Roster!$B14="","",Roster!$C14&amp;" "&amp;Roster!$B14)</f>
        <v/>
      </c>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10" t="n"/>
      <c r="AM14" s="10" t="n"/>
      <c r="AN14" s="10" t="n"/>
      <c r="AO14" s="10" t="n"/>
      <c r="AP14" s="10" t="n"/>
      <c r="AQ14" s="10" t="n"/>
      <c r="AR14" s="10" t="n"/>
      <c r="AS14" s="16">
        <f>IF(COUNT(C14:AQ14)=0,"",SUM(C14:AQ14))</f>
        <v/>
      </c>
    </row>
    <row r="15">
      <c r="A15" s="30">
        <f>IF(Roster!$A15="","",Roster!$A15)</f>
        <v/>
      </c>
      <c r="B15" s="31">
        <f>IF(Roster!$B15="","",Roster!$C15&amp;" "&amp;Roster!$B15)</f>
        <v/>
      </c>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c r="AP15" s="10" t="n"/>
      <c r="AQ15" s="10" t="n"/>
      <c r="AR15" s="10" t="n"/>
      <c r="AS15" s="16">
        <f>IF(COUNT(C15:AQ15)=0,"",SUM(C15:AQ15))</f>
        <v/>
      </c>
    </row>
    <row r="16">
      <c r="A16" s="30">
        <f>IF(Roster!$A16="","",Roster!$A16)</f>
        <v/>
      </c>
      <c r="B16" s="31">
        <f>IF(Roster!$B16="","",Roster!$C16&amp;" "&amp;Roster!$B16)</f>
        <v/>
      </c>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n"/>
      <c r="AP16" s="10" t="n"/>
      <c r="AQ16" s="10" t="n"/>
      <c r="AR16" s="10" t="n"/>
      <c r="AS16" s="16">
        <f>IF(COUNT(C16:AQ16)=0,"",SUM(C16:AQ16))</f>
        <v/>
      </c>
    </row>
    <row r="17">
      <c r="A17" s="30">
        <f>IF(Roster!$A17="","",Roster!$A17)</f>
        <v/>
      </c>
      <c r="B17" s="31">
        <f>IF(Roster!$B17="","",Roster!$C17&amp;" "&amp;Roster!$B17)</f>
        <v/>
      </c>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n"/>
      <c r="AP17" s="10" t="n"/>
      <c r="AQ17" s="10" t="n"/>
      <c r="AR17" s="10" t="n"/>
      <c r="AS17" s="16">
        <f>IF(COUNT(C17:AQ17)=0,"",SUM(C17:AQ17))</f>
        <v/>
      </c>
    </row>
    <row r="18">
      <c r="A18" s="30">
        <f>IF(Roster!$A18="","",Roster!$A18)</f>
        <v/>
      </c>
      <c r="B18" s="31">
        <f>IF(Roster!$B18="","",Roster!$C18&amp;" "&amp;Roster!$B18)</f>
        <v/>
      </c>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6">
        <f>IF(COUNT(C18:AQ18)=0,"",SUM(C18:AQ18))</f>
        <v/>
      </c>
    </row>
    <row r="19">
      <c r="A19" s="30">
        <f>IF(Roster!$A19="","",Roster!$A19)</f>
        <v/>
      </c>
      <c r="B19" s="31">
        <f>IF(Roster!$B19="","",Roster!$C19&amp;" "&amp;Roster!$B19)</f>
        <v/>
      </c>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6">
        <f>IF(COUNT(C19:AQ19)=0,"",SUM(C19:AQ19))</f>
        <v/>
      </c>
    </row>
    <row r="20">
      <c r="A20" s="30">
        <f>IF(Roster!$A20="","",Roster!$A20)</f>
        <v/>
      </c>
      <c r="B20" s="31">
        <f>IF(Roster!$B20="","",Roster!$C20&amp;" "&amp;Roster!$B20)</f>
        <v/>
      </c>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6">
        <f>IF(COUNT(C20:AQ20)=0,"",SUM(C20:AQ20))</f>
        <v/>
      </c>
    </row>
    <row r="21">
      <c r="A21" s="30">
        <f>IF(Roster!$A21="","",Roster!$A21)</f>
        <v/>
      </c>
      <c r="B21" s="31">
        <f>IF(Roster!$B21="","",Roster!$C21&amp;" "&amp;Roster!$B21)</f>
        <v/>
      </c>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6">
        <f>IF(COUNT(C21:AQ21)=0,"",SUM(C21:AQ21))</f>
        <v/>
      </c>
    </row>
    <row r="22">
      <c r="A22" s="30">
        <f>IF(Roster!$A22="","",Roster!$A22)</f>
        <v/>
      </c>
      <c r="B22" s="31">
        <f>IF(Roster!$B22="","",Roster!$C22&amp;" "&amp;Roster!$B22)</f>
        <v/>
      </c>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6">
        <f>IF(COUNT(C22:AQ22)=0,"",SUM(C22:AQ22))</f>
        <v/>
      </c>
    </row>
    <row r="23">
      <c r="A23" s="30">
        <f>IF(Roster!$A23="","",Roster!$A23)</f>
        <v/>
      </c>
      <c r="B23" s="31">
        <f>IF(Roster!$B23="","",Roster!$C23&amp;" "&amp;Roster!$B23)</f>
        <v/>
      </c>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6">
        <f>IF(COUNT(C23:AQ23)=0,"",SUM(C23:AQ23))</f>
        <v/>
      </c>
    </row>
    <row r="24">
      <c r="A24" s="30">
        <f>IF(Roster!$A24="","",Roster!$A24)</f>
        <v/>
      </c>
      <c r="B24" s="31">
        <f>IF(Roster!$B24="","",Roster!$C24&amp;" "&amp;Roster!$B24)</f>
        <v/>
      </c>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c r="AH24" s="10" t="n"/>
      <c r="AI24" s="10" t="n"/>
      <c r="AJ24" s="10" t="n"/>
      <c r="AK24" s="10" t="n"/>
      <c r="AL24" s="10" t="n"/>
      <c r="AM24" s="10" t="n"/>
      <c r="AN24" s="10" t="n"/>
      <c r="AO24" s="10" t="n"/>
      <c r="AP24" s="10" t="n"/>
      <c r="AQ24" s="10" t="n"/>
      <c r="AR24" s="10" t="n"/>
      <c r="AS24" s="16">
        <f>IF(COUNT(C24:AQ24)=0,"",SUM(C24:AQ24))</f>
        <v/>
      </c>
    </row>
    <row r="25">
      <c r="A25" s="30">
        <f>IF(Roster!$A25="","",Roster!$A25)</f>
        <v/>
      </c>
      <c r="B25" s="31">
        <f>IF(Roster!$B25="","",Roster!$C25&amp;" "&amp;Roster!$B25)</f>
        <v/>
      </c>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6">
        <f>IF(COUNT(C25:AQ25)=0,"",SUM(C25:AQ25))</f>
        <v/>
      </c>
    </row>
    <row r="26">
      <c r="A26" s="30">
        <f>IF(Roster!$A26="","",Roster!$A26)</f>
        <v/>
      </c>
      <c r="B26" s="31">
        <f>IF(Roster!$B26="","",Roster!$C26&amp;" "&amp;Roster!$B26)</f>
        <v/>
      </c>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6">
        <f>IF(COUNT(C26:AQ26)=0,"",SUM(C26:AQ26))</f>
        <v/>
      </c>
    </row>
    <row r="27">
      <c r="A27" s="30">
        <f>IF(Roster!$A27="","",Roster!$A27)</f>
        <v/>
      </c>
      <c r="B27" s="31">
        <f>IF(Roster!$B27="","",Roster!$C27&amp;" "&amp;Roster!$B27)</f>
        <v/>
      </c>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6">
        <f>IF(COUNT(C27:AQ27)=0,"",SUM(C27:AQ27))</f>
        <v/>
      </c>
    </row>
    <row r="28">
      <c r="A28" s="30">
        <f>IF(Roster!$A28="","",Roster!$A28)</f>
        <v/>
      </c>
      <c r="B28" s="31">
        <f>IF(Roster!$B28="","",Roster!$C28&amp;" "&amp;Roster!$B28)</f>
        <v/>
      </c>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6">
        <f>IF(COUNT(C28:AQ28)=0,"",SUM(C28:AQ28))</f>
        <v/>
      </c>
    </row>
    <row r="29">
      <c r="A29" s="30">
        <f>IF(Roster!$A29="","",Roster!$A29)</f>
        <v/>
      </c>
      <c r="B29" s="31">
        <f>IF(Roster!$B29="","",Roster!$C29&amp;" "&amp;Roster!$B29)</f>
        <v/>
      </c>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6">
        <f>IF(COUNT(C29:AQ29)=0,"",SUM(C29:AQ29))</f>
        <v/>
      </c>
    </row>
    <row r="30">
      <c r="A30" s="30">
        <f>IF(Roster!$A30="","",Roster!$A30)</f>
        <v/>
      </c>
      <c r="B30" s="31">
        <f>IF(Roster!$B30="","",Roster!$C30&amp;" "&amp;Roster!$B30)</f>
        <v/>
      </c>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6">
        <f>IF(COUNT(C30:AQ30)=0,"",SUM(C30:AQ30))</f>
        <v/>
      </c>
    </row>
    <row r="31">
      <c r="A31" s="30">
        <f>IF(Roster!$A31="","",Roster!$A31)</f>
        <v/>
      </c>
      <c r="B31" s="31">
        <f>IF(Roster!$B31="","",Roster!$C31&amp;" "&amp;Roster!$B31)</f>
        <v/>
      </c>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6">
        <f>IF(COUNT(C31:AQ31)=0,"",SUM(C31:AQ31))</f>
        <v/>
      </c>
    </row>
    <row r="32">
      <c r="A32" s="30">
        <f>IF(Roster!$A32="","",Roster!$A32)</f>
        <v/>
      </c>
      <c r="B32" s="31">
        <f>IF(Roster!$B32="","",Roster!$C32&amp;" "&amp;Roster!$B32)</f>
        <v/>
      </c>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6">
        <f>IF(COUNT(C32:AQ32)=0,"",SUM(C32:AQ32))</f>
        <v/>
      </c>
    </row>
    <row r="33">
      <c r="A33" s="30">
        <f>IF(Roster!$A33="","",Roster!$A33)</f>
        <v/>
      </c>
      <c r="B33" s="31">
        <f>IF(Roster!$B33="","",Roster!$C33&amp;" "&amp;Roster!$B33)</f>
        <v/>
      </c>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c r="AH33" s="10" t="n"/>
      <c r="AI33" s="10" t="n"/>
      <c r="AJ33" s="10" t="n"/>
      <c r="AK33" s="10" t="n"/>
      <c r="AL33" s="10" t="n"/>
      <c r="AM33" s="10" t="n"/>
      <c r="AN33" s="10" t="n"/>
      <c r="AO33" s="10" t="n"/>
      <c r="AP33" s="10" t="n"/>
      <c r="AQ33" s="10" t="n"/>
      <c r="AR33" s="10" t="n"/>
      <c r="AS33" s="16">
        <f>IF(COUNT(C33:AQ33)=0,"",SUM(C33:AQ33))</f>
        <v/>
      </c>
    </row>
    <row r="34">
      <c r="A34" s="30">
        <f>IF(Roster!$A34="","",Roster!$A34)</f>
        <v/>
      </c>
      <c r="B34" s="31">
        <f>IF(Roster!$B34="","",Roster!$C34&amp;" "&amp;Roster!$B34)</f>
        <v/>
      </c>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6">
        <f>IF(COUNT(C34:AQ34)=0,"",SUM(C34:AQ34))</f>
        <v/>
      </c>
    </row>
    <row r="35">
      <c r="A35" s="30">
        <f>IF(Roster!$A35="","",Roster!$A35)</f>
        <v/>
      </c>
      <c r="B35" s="31">
        <f>IF(Roster!$B35="","",Roster!$C35&amp;" "&amp;Roster!$B35)</f>
        <v/>
      </c>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6">
        <f>IF(COUNT(C35:AQ35)=0,"",SUM(C35:AQ35))</f>
        <v/>
      </c>
    </row>
    <row r="36">
      <c r="A36" s="30">
        <f>IF(Roster!$A36="","",Roster!$A36)</f>
        <v/>
      </c>
      <c r="B36" s="31">
        <f>IF(Roster!$B36="","",Roster!$C36&amp;" "&amp;Roster!$B36)</f>
        <v/>
      </c>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c r="AH36" s="10" t="n"/>
      <c r="AI36" s="10" t="n"/>
      <c r="AJ36" s="10" t="n"/>
      <c r="AK36" s="10" t="n"/>
      <c r="AL36" s="10" t="n"/>
      <c r="AM36" s="10" t="n"/>
      <c r="AN36" s="10" t="n"/>
      <c r="AO36" s="10" t="n"/>
      <c r="AP36" s="10" t="n"/>
      <c r="AQ36" s="10" t="n"/>
      <c r="AR36" s="10" t="n"/>
      <c r="AS36" s="16">
        <f>IF(COUNT(C36:AQ36)=0,"",SUM(C36:AQ36))</f>
        <v/>
      </c>
    </row>
    <row r="37">
      <c r="A37" s="30">
        <f>IF(Roster!$A37="","",Roster!$A37)</f>
        <v/>
      </c>
      <c r="B37" s="31">
        <f>IF(Roster!$B37="","",Roster!$C37&amp;" "&amp;Roster!$B37)</f>
        <v/>
      </c>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c r="AJ37" s="10" t="n"/>
      <c r="AK37" s="10" t="n"/>
      <c r="AL37" s="10" t="n"/>
      <c r="AM37" s="10" t="n"/>
      <c r="AN37" s="10" t="n"/>
      <c r="AO37" s="10" t="n"/>
      <c r="AP37" s="10" t="n"/>
      <c r="AQ37" s="10" t="n"/>
      <c r="AR37" s="10" t="n"/>
      <c r="AS37" s="16">
        <f>IF(COUNT(C37:AQ37)=0,"",SUM(C37:AQ37))</f>
        <v/>
      </c>
    </row>
    <row r="38">
      <c r="A38" s="30">
        <f>IF(Roster!$A38="","",Roster!$A38)</f>
        <v/>
      </c>
      <c r="B38" s="31">
        <f>IF(Roster!$B38="","",Roster!$C38&amp;" "&amp;Roster!$B38)</f>
        <v/>
      </c>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6">
        <f>IF(COUNT(C38:AQ38)=0,"",SUM(C38:AQ38))</f>
        <v/>
      </c>
    </row>
    <row r="39">
      <c r="A39" s="30">
        <f>IF(Roster!$A39="","",Roster!$A39)</f>
        <v/>
      </c>
      <c r="B39" s="31">
        <f>IF(Roster!$B39="","",Roster!$C39&amp;" "&amp;Roster!$B39)</f>
        <v/>
      </c>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6">
        <f>IF(COUNT(C39:AQ39)=0,"",SUM(C39:AQ39))</f>
        <v/>
      </c>
    </row>
    <row r="40">
      <c r="A40" s="30">
        <f>IF(Roster!$A40="","",Roster!$A40)</f>
        <v/>
      </c>
      <c r="B40" s="31">
        <f>IF(Roster!$B40="","",Roster!$C40&amp;" "&amp;Roster!$B40)</f>
        <v/>
      </c>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6">
        <f>IF(COUNT(C40:AQ40)=0,"",SUM(C40:AQ40))</f>
        <v/>
      </c>
    </row>
    <row r="41">
      <c r="A41" s="30">
        <f>IF(Roster!$A41="","",Roster!$A41)</f>
        <v/>
      </c>
      <c r="B41" s="31">
        <f>IF(Roster!$B41="","",Roster!$C41&amp;" "&amp;Roster!$B41)</f>
        <v/>
      </c>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c r="AI41" s="10" t="n"/>
      <c r="AJ41" s="10" t="n"/>
      <c r="AK41" s="10" t="n"/>
      <c r="AL41" s="10" t="n"/>
      <c r="AM41" s="10" t="n"/>
      <c r="AN41" s="10" t="n"/>
      <c r="AO41" s="10" t="n"/>
      <c r="AP41" s="10" t="n"/>
      <c r="AQ41" s="10" t="n"/>
      <c r="AR41" s="10" t="n"/>
      <c r="AS41" s="16">
        <f>IF(COUNT(C41:AQ41)=0,"",SUM(C41:AQ41))</f>
        <v/>
      </c>
    </row>
    <row r="42">
      <c r="A42" s="30">
        <f>IF(Roster!$A42="","",Roster!$A42)</f>
        <v/>
      </c>
      <c r="B42" s="31">
        <f>IF(Roster!$B42="","",Roster!$C42&amp;" "&amp;Roster!$B42)</f>
        <v/>
      </c>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6">
        <f>IF(COUNT(C42:AQ42)=0,"",SUM(C42:AQ42))</f>
        <v/>
      </c>
    </row>
    <row r="43">
      <c r="A43" s="30">
        <f>IF(Roster!$A43="","",Roster!$A43)</f>
        <v/>
      </c>
      <c r="B43" s="31">
        <f>IF(Roster!$B43="","",Roster!$C43&amp;" "&amp;Roster!$B43)</f>
        <v/>
      </c>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6">
        <f>IF(COUNT(C43:AQ43)=0,"",SUM(C43:AQ43))</f>
        <v/>
      </c>
    </row>
    <row r="44">
      <c r="A44" s="30">
        <f>IF(Roster!$A44="","",Roster!$A44)</f>
        <v/>
      </c>
      <c r="B44" s="31">
        <f>IF(Roster!$B44="","",Roster!$C44&amp;" "&amp;Roster!$B44)</f>
        <v/>
      </c>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6">
        <f>IF(COUNT(C44:AQ44)=0,"",SUM(C44:AQ44))</f>
        <v/>
      </c>
    </row>
    <row r="45">
      <c r="A45" s="30">
        <f>IF(Roster!$A45="","",Roster!$A45)</f>
        <v/>
      </c>
      <c r="B45" s="31">
        <f>IF(Roster!$B45="","",Roster!$C45&amp;" "&amp;Roster!$B45)</f>
        <v/>
      </c>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6">
        <f>IF(COUNT(C45:AQ45)=0,"",SUM(C45:AQ45))</f>
        <v/>
      </c>
    </row>
    <row r="46">
      <c r="A46" s="30">
        <f>IF(Roster!$A46="","",Roster!$A46)</f>
        <v/>
      </c>
      <c r="B46" s="31">
        <f>IF(Roster!$B46="","",Roster!$C46&amp;" "&amp;Roster!$B46)</f>
        <v/>
      </c>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6">
        <f>IF(COUNT(C46:AQ46)=0,"",SUM(C46:AQ46))</f>
        <v/>
      </c>
    </row>
    <row r="47">
      <c r="A47" s="30">
        <f>IF(Roster!$A47="","",Roster!$A47)</f>
        <v/>
      </c>
      <c r="B47" s="31">
        <f>IF(Roster!$B47="","",Roster!$C47&amp;" "&amp;Roster!$B47)</f>
        <v/>
      </c>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6">
        <f>IF(COUNT(C47:AQ47)=0,"",SUM(C47:AQ47))</f>
        <v/>
      </c>
    </row>
    <row r="48">
      <c r="A48" s="30">
        <f>IF(Roster!$A48="","",Roster!$A48)</f>
        <v/>
      </c>
      <c r="B48" s="31">
        <f>IF(Roster!$B48="","",Roster!$C48&amp;" "&amp;Roster!$B48)</f>
        <v/>
      </c>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n"/>
      <c r="AJ48" s="10" t="n"/>
      <c r="AK48" s="10" t="n"/>
      <c r="AL48" s="10" t="n"/>
      <c r="AM48" s="10" t="n"/>
      <c r="AN48" s="10" t="n"/>
      <c r="AO48" s="10" t="n"/>
      <c r="AP48" s="10" t="n"/>
      <c r="AQ48" s="10" t="n"/>
      <c r="AR48" s="10" t="n"/>
      <c r="AS48" s="16">
        <f>IF(COUNT(C48:AQ48)=0,"",SUM(C48:AQ48))</f>
        <v/>
      </c>
    </row>
    <row r="49">
      <c r="A49" s="30">
        <f>IF(Roster!$A49="","",Roster!$A49)</f>
        <v/>
      </c>
      <c r="B49" s="31">
        <f>IF(Roster!$B49="","",Roster!$C49&amp;" "&amp;Roster!$B49)</f>
        <v/>
      </c>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6">
        <f>IF(COUNT(C49:AQ49)=0,"",SUM(C49:AQ49))</f>
        <v/>
      </c>
    </row>
    <row r="50">
      <c r="A50" s="30">
        <f>IF(Roster!$A50="","",Roster!$A50)</f>
        <v/>
      </c>
      <c r="B50" s="31">
        <f>IF(Roster!$B50="","",Roster!$C50&amp;" "&amp;Roster!$B50)</f>
        <v/>
      </c>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6">
        <f>IF(COUNT(C50:AQ50)=0,"",SUM(C50:AQ50))</f>
        <v/>
      </c>
    </row>
    <row r="51">
      <c r="A51" s="30">
        <f>IF(Roster!$A51="","",Roster!$A51)</f>
        <v/>
      </c>
      <c r="B51" s="31">
        <f>IF(Roster!$B51="","",Roster!$C51&amp;" "&amp;Roster!$B51)</f>
        <v/>
      </c>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6">
        <f>IF(COUNT(C51:AQ51)=0,"",SUM(C51:AQ51))</f>
        <v/>
      </c>
    </row>
    <row r="52">
      <c r="A52" s="30">
        <f>IF(Roster!$A52="","",Roster!$A52)</f>
        <v/>
      </c>
      <c r="B52" s="31">
        <f>IF(Roster!$B52="","",Roster!$C52&amp;" "&amp;Roster!$B52)</f>
        <v/>
      </c>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6">
        <f>IF(COUNT(C52:AQ52)=0,"",SUM(C52:AQ52))</f>
        <v/>
      </c>
    </row>
    <row r="53">
      <c r="A53" s="30">
        <f>IF(Roster!$A53="","",Roster!$A53)</f>
        <v/>
      </c>
      <c r="B53" s="31">
        <f>IF(Roster!$B53="","",Roster!$C53&amp;" "&amp;Roster!$B53)</f>
        <v/>
      </c>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6">
        <f>IF(COUNT(C53:AQ53)=0,"",SUM(C53:AQ53))</f>
        <v/>
      </c>
    </row>
    <row r="54">
      <c r="A54" s="30">
        <f>IF(Roster!$A54="","",Roster!$A54)</f>
        <v/>
      </c>
      <c r="B54" s="31">
        <f>IF(Roster!$B54="","",Roster!$C54&amp;" "&amp;Roster!$B54)</f>
        <v/>
      </c>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c r="AH54" s="10" t="n"/>
      <c r="AI54" s="10" t="n"/>
      <c r="AJ54" s="10" t="n"/>
      <c r="AK54" s="10" t="n"/>
      <c r="AL54" s="10" t="n"/>
      <c r="AM54" s="10" t="n"/>
      <c r="AN54" s="10" t="n"/>
      <c r="AO54" s="10" t="n"/>
      <c r="AP54" s="10" t="n"/>
      <c r="AQ54" s="10" t="n"/>
      <c r="AR54" s="10" t="n"/>
      <c r="AS54" s="16">
        <f>IF(COUNT(C54:AQ54)=0,"",SUM(C54:AQ54))</f>
        <v/>
      </c>
    </row>
    <row r="55">
      <c r="A55" s="30">
        <f>IF(Roster!$A55="","",Roster!$A55)</f>
        <v/>
      </c>
      <c r="B55" s="31">
        <f>IF(Roster!$B55="","",Roster!$C55&amp;" "&amp;Roster!$B55)</f>
        <v/>
      </c>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6">
        <f>IF(COUNT(C55:AQ55)=0,"",SUM(C55:AQ55))</f>
        <v/>
      </c>
    </row>
    <row r="56">
      <c r="A56" s="30">
        <f>IF(Roster!$A56="","",Roster!$A56)</f>
        <v/>
      </c>
      <c r="B56" s="31">
        <f>IF(Roster!$B56="","",Roster!$C56&amp;" "&amp;Roster!$B56)</f>
        <v/>
      </c>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16">
        <f>IF(COUNT(C56:AQ56)=0,"",SUM(C56:AQ56))</f>
        <v/>
      </c>
    </row>
    <row r="57">
      <c r="A57" s="30">
        <f>IF(Roster!$A57="","",Roster!$A57)</f>
        <v/>
      </c>
      <c r="B57" s="31">
        <f>IF(Roster!$B57="","",Roster!$C57&amp;" "&amp;Roster!$B57)</f>
        <v/>
      </c>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6">
        <f>IF(COUNT(C57:AQ57)=0,"",SUM(C57:AQ57))</f>
        <v/>
      </c>
    </row>
    <row r="58">
      <c r="A58" s="30">
        <f>IF(Roster!$A58="","",Roster!$A58)</f>
        <v/>
      </c>
      <c r="B58" s="31">
        <f>IF(Roster!$B58="","",Roster!$C58&amp;" "&amp;Roster!$B58)</f>
        <v/>
      </c>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c r="AH58" s="10" t="n"/>
      <c r="AI58" s="10" t="n"/>
      <c r="AJ58" s="10" t="n"/>
      <c r="AK58" s="10" t="n"/>
      <c r="AL58" s="10" t="n"/>
      <c r="AM58" s="10" t="n"/>
      <c r="AN58" s="10" t="n"/>
      <c r="AO58" s="10" t="n"/>
      <c r="AP58" s="10" t="n"/>
      <c r="AQ58" s="10" t="n"/>
      <c r="AR58" s="10" t="n"/>
      <c r="AS58" s="16">
        <f>IF(COUNT(C58:AQ58)=0,"",SUM(C58:AQ58))</f>
        <v/>
      </c>
    </row>
    <row r="59">
      <c r="A59" s="30">
        <f>IF(Roster!$A59="","",Roster!$A59)</f>
        <v/>
      </c>
      <c r="B59" s="31">
        <f>IF(Roster!$B59="","",Roster!$C59&amp;" "&amp;Roster!$B59)</f>
        <v/>
      </c>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6">
        <f>IF(COUNT(C59:AQ59)=0,"",SUM(C59:AQ59))</f>
        <v/>
      </c>
    </row>
    <row r="60">
      <c r="A60" s="30">
        <f>IF(Roster!$A60="","",Roster!$A60)</f>
        <v/>
      </c>
      <c r="B60" s="31">
        <f>IF(Roster!$B60="","",Roster!$C60&amp;" "&amp;Roster!$B60)</f>
        <v/>
      </c>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6">
        <f>IF(COUNT(C60:AQ60)=0,"",SUM(C60:AQ60))</f>
        <v/>
      </c>
    </row>
    <row r="61">
      <c r="A61" s="30">
        <f>IF(Roster!$A61="","",Roster!$A61)</f>
        <v/>
      </c>
      <c r="B61" s="31">
        <f>IF(Roster!$B61="","",Roster!$C61&amp;" "&amp;Roster!$B61)</f>
        <v/>
      </c>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6">
        <f>IF(COUNT(C61:AQ61)=0,"",SUM(C61:AQ61))</f>
        <v/>
      </c>
    </row>
    <row r="62">
      <c r="A62" s="30">
        <f>IF(Roster!$A62="","",Roster!$A62)</f>
        <v/>
      </c>
      <c r="B62" s="31">
        <f>IF(Roster!$B62="","",Roster!$C62&amp;" "&amp;Roster!$B62)</f>
        <v/>
      </c>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6">
        <f>IF(COUNT(C62:AQ62)=0,"",SUM(C62:AQ62))</f>
        <v/>
      </c>
    </row>
    <row r="63">
      <c r="A63" s="30">
        <f>IF(Roster!$A63="","",Roster!$A63)</f>
        <v/>
      </c>
      <c r="B63" s="31">
        <f>IF(Roster!$B63="","",Roster!$C63&amp;" "&amp;Roster!$B63)</f>
        <v/>
      </c>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6">
        <f>IF(COUNT(C63:AQ63)=0,"",SUM(C63:AQ63))</f>
        <v/>
      </c>
    </row>
    <row r="64">
      <c r="A64" s="30">
        <f>IF(Roster!$A64="","",Roster!$A64)</f>
        <v/>
      </c>
      <c r="B64" s="31">
        <f>IF(Roster!$B64="","",Roster!$C64&amp;" "&amp;Roster!$B64)</f>
        <v/>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6">
        <f>IF(COUNT(C64:AQ64)=0,"",SUM(C64:AQ64))</f>
        <v/>
      </c>
    </row>
    <row r="65">
      <c r="A65" s="30">
        <f>IF(Roster!$A65="","",Roster!$A65)</f>
        <v/>
      </c>
      <c r="B65" s="31">
        <f>IF(Roster!$B65="","",Roster!$C65&amp;" "&amp;Roster!$B65)</f>
        <v/>
      </c>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6">
        <f>IF(COUNT(C65:AQ65)=0,"",SUM(C65:AQ65))</f>
        <v/>
      </c>
    </row>
    <row r="66">
      <c r="A66" s="30">
        <f>IF(Roster!$A66="","",Roster!$A66)</f>
        <v/>
      </c>
      <c r="B66" s="31">
        <f>IF(Roster!$B66="","",Roster!$C66&amp;" "&amp;Roster!$B66)</f>
        <v/>
      </c>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0" t="n"/>
      <c r="AL66" s="10" t="n"/>
      <c r="AM66" s="10" t="n"/>
      <c r="AN66" s="10" t="n"/>
      <c r="AO66" s="10" t="n"/>
      <c r="AP66" s="10" t="n"/>
      <c r="AQ66" s="10" t="n"/>
      <c r="AR66" s="10" t="n"/>
      <c r="AS66" s="16">
        <f>IF(COUNT(C66:AQ66)=0,"",SUM(C66:AQ66))</f>
        <v/>
      </c>
    </row>
    <row r="67">
      <c r="A67" s="30">
        <f>IF(Roster!$A67="","",Roster!$A67)</f>
        <v/>
      </c>
      <c r="B67" s="31">
        <f>IF(Roster!$B67="","",Roster!$C67&amp;" "&amp;Roster!$B67)</f>
        <v/>
      </c>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6">
        <f>IF(COUNT(C67:AQ67)=0,"",SUM(C67:AQ67))</f>
        <v/>
      </c>
    </row>
    <row r="68">
      <c r="A68" s="30">
        <f>IF(Roster!$A68="","",Roster!$A68)</f>
        <v/>
      </c>
      <c r="B68" s="31">
        <f>IF(Roster!$B68="","",Roster!$C68&amp;" "&amp;Roster!$B68)</f>
        <v/>
      </c>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6">
        <f>IF(COUNT(C68:AQ68)=0,"",SUM(C68:AQ68))</f>
        <v/>
      </c>
    </row>
    <row r="69">
      <c r="A69" s="30">
        <f>IF(Roster!$A69="","",Roster!$A69)</f>
        <v/>
      </c>
      <c r="B69" s="31">
        <f>IF(Roster!$B69="","",Roster!$C69&amp;" "&amp;Roster!$B69)</f>
        <v/>
      </c>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c r="AP69" s="10" t="n"/>
      <c r="AQ69" s="10" t="n"/>
      <c r="AR69" s="10" t="n"/>
      <c r="AS69" s="16">
        <f>IF(COUNT(C69:AQ69)=0,"",SUM(C69:AQ69))</f>
        <v/>
      </c>
    </row>
    <row r="70">
      <c r="A70" s="30">
        <f>IF(Roster!$A70="","",Roster!$A70)</f>
        <v/>
      </c>
      <c r="B70" s="31">
        <f>IF(Roster!$B70="","",Roster!$C70&amp;" "&amp;Roster!$B70)</f>
        <v/>
      </c>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16">
        <f>IF(COUNT(C70:AQ70)=0,"",SUM(C70:AQ70))</f>
        <v/>
      </c>
    </row>
    <row r="71">
      <c r="A71" s="30">
        <f>IF(Roster!$A71="","",Roster!$A71)</f>
        <v/>
      </c>
      <c r="B71" s="31">
        <f>IF(Roster!$B71="","",Roster!$C71&amp;" "&amp;Roster!$B71)</f>
        <v/>
      </c>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0" t="n"/>
      <c r="AN71" s="10" t="n"/>
      <c r="AO71" s="10" t="n"/>
      <c r="AP71" s="10" t="n"/>
      <c r="AQ71" s="10" t="n"/>
      <c r="AR71" s="10" t="n"/>
      <c r="AS71" s="16">
        <f>IF(COUNT(C71:AQ71)=0,"",SUM(C71:AQ71))</f>
        <v/>
      </c>
    </row>
    <row r="72">
      <c r="A72" s="30">
        <f>IF(Roster!$A72="","",Roster!$A72)</f>
        <v/>
      </c>
      <c r="B72" s="31">
        <f>IF(Roster!$B72="","",Roster!$C72&amp;" "&amp;Roster!$B72)</f>
        <v/>
      </c>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16">
        <f>IF(COUNT(C72:AQ72)=0,"",SUM(C72:AQ72))</f>
        <v/>
      </c>
    </row>
    <row r="73">
      <c r="A73" s="30">
        <f>IF(Roster!$A73="","",Roster!$A73)</f>
        <v/>
      </c>
      <c r="B73" s="31">
        <f>IF(Roster!$B73="","",Roster!$C73&amp;" "&amp;Roster!$B73)</f>
        <v/>
      </c>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6">
        <f>IF(COUNT(C73:AQ73)=0,"",SUM(C73:AQ73))</f>
        <v/>
      </c>
    </row>
    <row r="74">
      <c r="A74" s="30">
        <f>IF(Roster!$A74="","",Roster!$A74)</f>
        <v/>
      </c>
      <c r="B74" s="31">
        <f>IF(Roster!$B74="","",Roster!$C74&amp;" "&amp;Roster!$B74)</f>
        <v/>
      </c>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0" t="n"/>
      <c r="AL74" s="10" t="n"/>
      <c r="AM74" s="10" t="n"/>
      <c r="AN74" s="10" t="n"/>
      <c r="AO74" s="10" t="n"/>
      <c r="AP74" s="10" t="n"/>
      <c r="AQ74" s="10" t="n"/>
      <c r="AR74" s="10" t="n"/>
      <c r="AS74" s="16">
        <f>IF(COUNT(C74:AQ74)=0,"",SUM(C74:AQ74))</f>
        <v/>
      </c>
    </row>
    <row r="75">
      <c r="A75" s="30">
        <f>IF(Roster!$A75="","",Roster!$A75)</f>
        <v/>
      </c>
      <c r="B75" s="31">
        <f>IF(Roster!$B75="","",Roster!$C75&amp;" "&amp;Roster!$B75)</f>
        <v/>
      </c>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c r="AG75" s="10" t="n"/>
      <c r="AH75" s="10" t="n"/>
      <c r="AI75" s="10" t="n"/>
      <c r="AJ75" s="10" t="n"/>
      <c r="AK75" s="10" t="n"/>
      <c r="AL75" s="10" t="n"/>
      <c r="AM75" s="10" t="n"/>
      <c r="AN75" s="10" t="n"/>
      <c r="AO75" s="10" t="n"/>
      <c r="AP75" s="10" t="n"/>
      <c r="AQ75" s="10" t="n"/>
      <c r="AR75" s="10" t="n"/>
      <c r="AS75" s="16">
        <f>IF(COUNT(C75:AQ75)=0,"",SUM(C75:AQ75))</f>
        <v/>
      </c>
    </row>
    <row r="76">
      <c r="A76" s="30">
        <f>IF(Roster!$A76="","",Roster!$A76)</f>
        <v/>
      </c>
      <c r="B76" s="31">
        <f>IF(Roster!$B76="","",Roster!$C76&amp;" "&amp;Roster!$B76)</f>
        <v/>
      </c>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6">
        <f>IF(COUNT(C76:AQ76)=0,"",SUM(C76:AQ76))</f>
        <v/>
      </c>
    </row>
    <row r="77">
      <c r="A77" s="30">
        <f>IF(Roster!$A77="","",Roster!$A77)</f>
        <v/>
      </c>
      <c r="B77" s="31">
        <f>IF(Roster!$B77="","",Roster!$C77&amp;" "&amp;Roster!$B77)</f>
        <v/>
      </c>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0" t="n"/>
      <c r="AN77" s="10" t="n"/>
      <c r="AO77" s="10" t="n"/>
      <c r="AP77" s="10" t="n"/>
      <c r="AQ77" s="10" t="n"/>
      <c r="AR77" s="10" t="n"/>
      <c r="AS77" s="16">
        <f>IF(COUNT(C77:AQ77)=0,"",SUM(C77:AQ77))</f>
        <v/>
      </c>
    </row>
    <row r="78">
      <c r="A78" s="30">
        <f>IF(Roster!$A78="","",Roster!$A78)</f>
        <v/>
      </c>
      <c r="B78" s="31">
        <f>IF(Roster!$B78="","",Roster!$C78&amp;" "&amp;Roster!$B78)</f>
        <v/>
      </c>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6">
        <f>IF(COUNT(C78:AQ78)=0,"",SUM(C78:AQ78))</f>
        <v/>
      </c>
    </row>
    <row r="79">
      <c r="A79" s="30">
        <f>IF(Roster!$A79="","",Roster!$A79)</f>
        <v/>
      </c>
      <c r="B79" s="31">
        <f>IF(Roster!$B79="","",Roster!$C79&amp;" "&amp;Roster!$B79)</f>
        <v/>
      </c>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6">
        <f>IF(COUNT(C79:AQ79)=0,"",SUM(C79:AQ79))</f>
        <v/>
      </c>
    </row>
    <row r="80">
      <c r="A80" s="30">
        <f>IF(Roster!$A80="","",Roster!$A80)</f>
        <v/>
      </c>
      <c r="B80" s="31">
        <f>IF(Roster!$B80="","",Roster!$C80&amp;" "&amp;Roster!$B80)</f>
        <v/>
      </c>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6">
        <f>IF(COUNT(C80:AQ80)=0,"",SUM(C80:AQ80))</f>
        <v/>
      </c>
    </row>
    <row r="81">
      <c r="A81" s="30">
        <f>IF(Roster!$A81="","",Roster!$A81)</f>
        <v/>
      </c>
      <c r="B81" s="31">
        <f>IF(Roster!$B81="","",Roster!$C81&amp;" "&amp;Roster!$B81)</f>
        <v/>
      </c>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c r="AP81" s="10" t="n"/>
      <c r="AQ81" s="10" t="n"/>
      <c r="AR81" s="10" t="n"/>
      <c r="AS81" s="16">
        <f>IF(COUNT(C81:AQ81)=0,"",SUM(C81:AQ81))</f>
        <v/>
      </c>
    </row>
    <row r="82">
      <c r="A82" s="30">
        <f>IF(Roster!$A82="","",Roster!$A82)</f>
        <v/>
      </c>
      <c r="B82" s="31">
        <f>IF(Roster!$B82="","",Roster!$C82&amp;" "&amp;Roster!$B82)</f>
        <v/>
      </c>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6">
        <f>IF(COUNT(C82:AQ82)=0,"",SUM(C82:AQ82))</f>
        <v/>
      </c>
    </row>
    <row r="83">
      <c r="A83" s="30">
        <f>IF(Roster!$A83="","",Roster!$A83)</f>
        <v/>
      </c>
      <c r="B83" s="31">
        <f>IF(Roster!$B83="","",Roster!$C83&amp;" "&amp;Roster!$B83)</f>
        <v/>
      </c>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c r="AP83" s="10" t="n"/>
      <c r="AQ83" s="10" t="n"/>
      <c r="AR83" s="10" t="n"/>
      <c r="AS83" s="16">
        <f>IF(COUNT(C83:AQ83)=0,"",SUM(C83:AQ83))</f>
        <v/>
      </c>
    </row>
    <row r="84">
      <c r="A84" s="30">
        <f>IF(Roster!$A84="","",Roster!$A84)</f>
        <v/>
      </c>
      <c r="B84" s="31">
        <f>IF(Roster!$B84="","",Roster!$C84&amp;" "&amp;Roster!$B84)</f>
        <v/>
      </c>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c r="AP84" s="10" t="n"/>
      <c r="AQ84" s="10" t="n"/>
      <c r="AR84" s="10" t="n"/>
      <c r="AS84" s="16">
        <f>IF(COUNT(C84:AQ84)=0,"",SUM(C84:AQ84))</f>
        <v/>
      </c>
    </row>
    <row r="85">
      <c r="A85" s="30">
        <f>IF(Roster!$A85="","",Roster!$A85)</f>
        <v/>
      </c>
      <c r="B85" s="31">
        <f>IF(Roster!$B85="","",Roster!$C85&amp;" "&amp;Roster!$B85)</f>
        <v/>
      </c>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c r="AP85" s="10" t="n"/>
      <c r="AQ85" s="10" t="n"/>
      <c r="AR85" s="10" t="n"/>
      <c r="AS85" s="16">
        <f>IF(COUNT(C85:AQ85)=0,"",SUM(C85:AQ85))</f>
        <v/>
      </c>
    </row>
    <row r="86">
      <c r="A86" s="30">
        <f>IF(Roster!$A86="","",Roster!$A86)</f>
        <v/>
      </c>
      <c r="B86" s="31">
        <f>IF(Roster!$B86="","",Roster!$C86&amp;" "&amp;Roster!$B86)</f>
        <v/>
      </c>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6">
        <f>IF(COUNT(C86:AQ86)=0,"",SUM(C86:AQ86))</f>
        <v/>
      </c>
    </row>
    <row r="87">
      <c r="A87" s="30">
        <f>IF(Roster!$A87="","",Roster!$A87)</f>
        <v/>
      </c>
      <c r="B87" s="31">
        <f>IF(Roster!$B87="","",Roster!$C87&amp;" "&amp;Roster!$B87)</f>
        <v/>
      </c>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6">
        <f>IF(COUNT(C87:AQ87)=0,"",SUM(C87:AQ87))</f>
        <v/>
      </c>
    </row>
    <row r="88">
      <c r="A88" s="30">
        <f>IF(Roster!$A88="","",Roster!$A88)</f>
        <v/>
      </c>
      <c r="B88" s="31">
        <f>IF(Roster!$B88="","",Roster!$C88&amp;" "&amp;Roster!$B88)</f>
        <v/>
      </c>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6">
        <f>IF(COUNT(C88:AQ88)=0,"",SUM(C88:AQ88))</f>
        <v/>
      </c>
    </row>
    <row r="89">
      <c r="A89" s="30">
        <f>IF(Roster!$A89="","",Roster!$A89)</f>
        <v/>
      </c>
      <c r="B89" s="31">
        <f>IF(Roster!$B89="","",Roster!$C89&amp;" "&amp;Roster!$B89)</f>
        <v/>
      </c>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6">
        <f>IF(COUNT(C89:AQ89)=0,"",SUM(C89:AQ89))</f>
        <v/>
      </c>
    </row>
    <row r="90">
      <c r="A90" s="30">
        <f>IF(Roster!$A90="","",Roster!$A90)</f>
        <v/>
      </c>
      <c r="B90" s="31">
        <f>IF(Roster!$B90="","",Roster!$C90&amp;" "&amp;Roster!$B90)</f>
        <v/>
      </c>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c r="AP90" s="10" t="n"/>
      <c r="AQ90" s="10" t="n"/>
      <c r="AR90" s="10" t="n"/>
      <c r="AS90" s="16">
        <f>IF(COUNT(C90:AQ90)=0,"",SUM(C90:AQ90))</f>
        <v/>
      </c>
    </row>
    <row r="91">
      <c r="A91" s="30">
        <f>IF(Roster!$A91="","",Roster!$A91)</f>
        <v/>
      </c>
      <c r="B91" s="31">
        <f>IF(Roster!$B91="","",Roster!$C91&amp;" "&amp;Roster!$B91)</f>
        <v/>
      </c>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c r="AP91" s="10" t="n"/>
      <c r="AQ91" s="10" t="n"/>
      <c r="AR91" s="10" t="n"/>
      <c r="AS91" s="16">
        <f>IF(COUNT(C91:AQ91)=0,"",SUM(C91:AQ91))</f>
        <v/>
      </c>
    </row>
    <row r="92">
      <c r="A92" s="30">
        <f>IF(Roster!$A92="","",Roster!$A92)</f>
        <v/>
      </c>
      <c r="B92" s="31">
        <f>IF(Roster!$B92="","",Roster!$C92&amp;" "&amp;Roster!$B92)</f>
        <v/>
      </c>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6">
        <f>IF(COUNT(C92:AQ92)=0,"",SUM(C92:AQ92))</f>
        <v/>
      </c>
    </row>
    <row r="93">
      <c r="A93" s="30">
        <f>IF(Roster!$A93="","",Roster!$A93)</f>
        <v/>
      </c>
      <c r="B93" s="31">
        <f>IF(Roster!$B93="","",Roster!$C93&amp;" "&amp;Roster!$B93)</f>
        <v/>
      </c>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6">
        <f>IF(COUNT(C93:AQ93)=0,"",SUM(C93:AQ93))</f>
        <v/>
      </c>
    </row>
    <row r="94">
      <c r="A94" s="30">
        <f>IF(Roster!$A94="","",Roster!$A94)</f>
        <v/>
      </c>
      <c r="B94" s="31">
        <f>IF(Roster!$B94="","",Roster!$C94&amp;" "&amp;Roster!$B94)</f>
        <v/>
      </c>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c r="AP94" s="10" t="n"/>
      <c r="AQ94" s="10" t="n"/>
      <c r="AR94" s="10" t="n"/>
      <c r="AS94" s="16">
        <f>IF(COUNT(C94:AQ94)=0,"",SUM(C94:AQ94))</f>
        <v/>
      </c>
    </row>
    <row r="95">
      <c r="A95" s="30">
        <f>IF(Roster!$A95="","",Roster!$A95)</f>
        <v/>
      </c>
      <c r="B95" s="31">
        <f>IF(Roster!$B95="","",Roster!$C95&amp;" "&amp;Roster!$B95)</f>
        <v/>
      </c>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6">
        <f>IF(COUNT(C95:AQ95)=0,"",SUM(C95:AQ95))</f>
        <v/>
      </c>
    </row>
    <row r="96">
      <c r="A96" s="30">
        <f>IF(Roster!$A96="","",Roster!$A96)</f>
        <v/>
      </c>
      <c r="B96" s="31">
        <f>IF(Roster!$B96="","",Roster!$C96&amp;" "&amp;Roster!$B96)</f>
        <v/>
      </c>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6">
        <f>IF(COUNT(C96:AQ96)=0,"",SUM(C96:AQ96))</f>
        <v/>
      </c>
    </row>
    <row r="97">
      <c r="A97" s="30">
        <f>IF(Roster!$A97="","",Roster!$A97)</f>
        <v/>
      </c>
      <c r="B97" s="31">
        <f>IF(Roster!$B97="","",Roster!$C97&amp;" "&amp;Roster!$B97)</f>
        <v/>
      </c>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c r="AP97" s="10" t="n"/>
      <c r="AQ97" s="10" t="n"/>
      <c r="AR97" s="10" t="n"/>
      <c r="AS97" s="16">
        <f>IF(COUNT(C97:AQ97)=0,"",SUM(C97:AQ97))</f>
        <v/>
      </c>
    </row>
    <row r="98">
      <c r="A98" s="30">
        <f>IF(Roster!$A98="","",Roster!$A98)</f>
        <v/>
      </c>
      <c r="B98" s="31">
        <f>IF(Roster!$B98="","",Roster!$C98&amp;" "&amp;Roster!$B98)</f>
        <v/>
      </c>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16">
        <f>IF(COUNT(C98:AQ98)=0,"",SUM(C98:AQ98))</f>
        <v/>
      </c>
    </row>
    <row r="99">
      <c r="A99" s="30">
        <f>IF(Roster!$A99="","",Roster!$A99)</f>
        <v/>
      </c>
      <c r="B99" s="31">
        <f>IF(Roster!$B99="","",Roster!$C99&amp;" "&amp;Roster!$B99)</f>
        <v/>
      </c>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16">
        <f>IF(COUNT(C99:AQ99)=0,"",SUM(C99:AQ99))</f>
        <v/>
      </c>
    </row>
    <row r="100">
      <c r="A100" s="30">
        <f>IF(Roster!$A100="","",Roster!$A100)</f>
        <v/>
      </c>
      <c r="B100" s="31">
        <f>IF(Roster!$B100="","",Roster!$C100&amp;" "&amp;Roster!$B100)</f>
        <v/>
      </c>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c r="AP100" s="10" t="n"/>
      <c r="AQ100" s="10" t="n"/>
      <c r="AR100" s="10" t="n"/>
      <c r="AS100" s="16">
        <f>IF(COUNT(C100:AQ100)=0,"",SUM(C100:AQ100))</f>
        <v/>
      </c>
    </row>
    <row r="101">
      <c r="A101" s="30">
        <f>IF(Roster!$A101="","",Roster!$A101)</f>
        <v/>
      </c>
      <c r="B101" s="31">
        <f>IF(Roster!$B101="","",Roster!$C101&amp;" "&amp;Roster!$B101)</f>
        <v/>
      </c>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6">
        <f>IF(COUNT(C101:AQ101)=0,"",SUM(C101:AQ101))</f>
        <v/>
      </c>
    </row>
    <row r="102">
      <c r="A102" s="30">
        <f>IF(Roster!$A102="","",Roster!$A102)</f>
        <v/>
      </c>
      <c r="B102" s="31">
        <f>IF(Roster!$B102="","",Roster!$C102&amp;" "&amp;Roster!$B102)</f>
        <v/>
      </c>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6">
        <f>IF(COUNT(C102:AQ102)=0,"",SUM(C102:AQ102))</f>
        <v/>
      </c>
    </row>
    <row r="103">
      <c r="A103" s="30">
        <f>IF(Roster!$A103="","",Roster!$A103)</f>
        <v/>
      </c>
      <c r="B103" s="31">
        <f>IF(Roster!$B103="","",Roster!$C103&amp;" "&amp;Roster!$B103)</f>
        <v/>
      </c>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6">
        <f>IF(COUNT(C103:AQ103)=0,"",SUM(C103:AQ103))</f>
        <v/>
      </c>
    </row>
    <row r="104">
      <c r="A104" s="30">
        <f>IF(Roster!$A104="","",Roster!$A104)</f>
        <v/>
      </c>
      <c r="B104" s="31">
        <f>IF(Roster!$B104="","",Roster!$C104&amp;" "&amp;Roster!$B104)</f>
        <v/>
      </c>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c r="AP104" s="10" t="n"/>
      <c r="AQ104" s="10" t="n"/>
      <c r="AR104" s="10" t="n"/>
      <c r="AS104" s="16">
        <f>IF(COUNT(C104:AQ104)=0,"",SUM(C104:AQ104))</f>
        <v/>
      </c>
    </row>
    <row r="105">
      <c r="A105" s="30">
        <f>IF(Roster!$A105="","",Roster!$A105)</f>
        <v/>
      </c>
      <c r="B105" s="31">
        <f>IF(Roster!$B105="","",Roster!$C105&amp;" "&amp;Roster!$B105)</f>
        <v/>
      </c>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6">
        <f>IF(COUNT(C105:AQ105)=0,"",SUM(C105:AQ105))</f>
        <v/>
      </c>
    </row>
    <row r="106">
      <c r="A106" s="30">
        <f>IF(Roster!$A106="","",Roster!$A106)</f>
        <v/>
      </c>
      <c r="B106" s="31">
        <f>IF(Roster!$B106="","",Roster!$C106&amp;" "&amp;Roster!$B106)</f>
        <v/>
      </c>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6">
        <f>IF(COUNT(C106:AQ106)=0,"",SUM(C106:AQ106))</f>
        <v/>
      </c>
    </row>
    <row r="107">
      <c r="A107" s="30">
        <f>IF(Roster!$A107="","",Roster!$A107)</f>
        <v/>
      </c>
      <c r="B107" s="31">
        <f>IF(Roster!$B107="","",Roster!$C107&amp;" "&amp;Roster!$B107)</f>
        <v/>
      </c>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6">
        <f>IF(COUNT(C107:AQ107)=0,"",SUM(C107:AQ107))</f>
        <v/>
      </c>
    </row>
    <row r="108">
      <c r="A108" s="30">
        <f>IF(Roster!$A108="","",Roster!$A108)</f>
        <v/>
      </c>
      <c r="B108" s="31">
        <f>IF(Roster!$B108="","",Roster!$C108&amp;" "&amp;Roster!$B108)</f>
        <v/>
      </c>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6">
        <f>IF(COUNT(C108:AQ108)=0,"",SUM(C108:AQ108))</f>
        <v/>
      </c>
    </row>
    <row r="109">
      <c r="A109" s="30">
        <f>IF(Roster!$A109="","",Roster!$A109)</f>
        <v/>
      </c>
      <c r="B109" s="31">
        <f>IF(Roster!$B109="","",Roster!$C109&amp;" "&amp;Roster!$B109)</f>
        <v/>
      </c>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6">
        <f>IF(COUNT(C109:AQ109)=0,"",SUM(C109:AQ109))</f>
        <v/>
      </c>
    </row>
    <row r="110">
      <c r="A110" s="30">
        <f>IF(Roster!$A110="","",Roster!$A110)</f>
        <v/>
      </c>
      <c r="B110" s="31">
        <f>IF(Roster!$B110="","",Roster!$C110&amp;" "&amp;Roster!$B110)</f>
        <v/>
      </c>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c r="AP110" s="10" t="n"/>
      <c r="AQ110" s="10" t="n"/>
      <c r="AR110" s="10" t="n"/>
      <c r="AS110" s="16">
        <f>IF(COUNT(C110:AQ110)=0,"",SUM(C110:AQ110))</f>
        <v/>
      </c>
    </row>
    <row r="111">
      <c r="A111" s="30">
        <f>IF(Roster!$A111="","",Roster!$A111)</f>
        <v/>
      </c>
      <c r="B111" s="31">
        <f>IF(Roster!$B111="","",Roster!$C111&amp;" "&amp;Roster!$B111)</f>
        <v/>
      </c>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6">
        <f>IF(COUNT(C111:AQ111)=0,"",SUM(C111:AQ111))</f>
        <v/>
      </c>
    </row>
    <row r="112">
      <c r="A112" s="30">
        <f>IF(Roster!$A112="","",Roster!$A112)</f>
        <v/>
      </c>
      <c r="B112" s="31">
        <f>IF(Roster!$B112="","",Roster!$C112&amp;" "&amp;Roster!$B112)</f>
        <v/>
      </c>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c r="AP112" s="10" t="n"/>
      <c r="AQ112" s="10" t="n"/>
      <c r="AR112" s="10" t="n"/>
      <c r="AS112" s="16">
        <f>IF(COUNT(C112:AQ112)=0,"",SUM(C112:AQ112))</f>
        <v/>
      </c>
    </row>
    <row r="113">
      <c r="A113" s="30">
        <f>IF(Roster!$A113="","",Roster!$A113)</f>
        <v/>
      </c>
      <c r="B113" s="31">
        <f>IF(Roster!$B113="","",Roster!$C113&amp;" "&amp;Roster!$B113)</f>
        <v/>
      </c>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6">
        <f>IF(COUNT(C113:AQ113)=0,"",SUM(C113:AQ113))</f>
        <v/>
      </c>
    </row>
    <row r="114">
      <c r="A114" s="30">
        <f>IF(Roster!$A114="","",Roster!$A114)</f>
        <v/>
      </c>
      <c r="B114" s="31">
        <f>IF(Roster!$B114="","",Roster!$C114&amp;" "&amp;Roster!$B114)</f>
        <v/>
      </c>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c r="AP114" s="10" t="n"/>
      <c r="AQ114" s="10" t="n"/>
      <c r="AR114" s="10" t="n"/>
      <c r="AS114" s="16">
        <f>IF(COUNT(C114:AQ114)=0,"",SUM(C114:AQ114))</f>
        <v/>
      </c>
    </row>
    <row r="115">
      <c r="A115" s="30">
        <f>IF(Roster!$A115="","",Roster!$A115)</f>
        <v/>
      </c>
      <c r="B115" s="31">
        <f>IF(Roster!$B115="","",Roster!$C115&amp;" "&amp;Roster!$B115)</f>
        <v/>
      </c>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6">
        <f>IF(COUNT(C115:AQ115)=0,"",SUM(C115:AQ115))</f>
        <v/>
      </c>
    </row>
    <row r="116">
      <c r="A116" s="30">
        <f>IF(Roster!$A116="","",Roster!$A116)</f>
        <v/>
      </c>
      <c r="B116" s="31">
        <f>IF(Roster!$B116="","",Roster!$C116&amp;" "&amp;Roster!$B116)</f>
        <v/>
      </c>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6">
        <f>IF(COUNT(C116:AQ116)=0,"",SUM(C116:AQ116))</f>
        <v/>
      </c>
    </row>
    <row r="117">
      <c r="A117" s="30">
        <f>IF(Roster!$A117="","",Roster!$A117)</f>
        <v/>
      </c>
      <c r="B117" s="31">
        <f>IF(Roster!$B117="","",Roster!$C117&amp;" "&amp;Roster!$B117)</f>
        <v/>
      </c>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6">
        <f>IF(COUNT(C117:AQ117)=0,"",SUM(C117:AQ117))</f>
        <v/>
      </c>
    </row>
    <row r="118">
      <c r="A118" s="30">
        <f>IF(Roster!$A118="","",Roster!$A118)</f>
        <v/>
      </c>
      <c r="B118" s="31">
        <f>IF(Roster!$B118="","",Roster!$C118&amp;" "&amp;Roster!$B118)</f>
        <v/>
      </c>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6">
        <f>IF(COUNT(C118:AQ118)=0,"",SUM(C118:AQ118))</f>
        <v/>
      </c>
    </row>
    <row r="119">
      <c r="A119" s="30">
        <f>IF(Roster!$A119="","",Roster!$A119)</f>
        <v/>
      </c>
      <c r="B119" s="31">
        <f>IF(Roster!$B119="","",Roster!$C119&amp;" "&amp;Roster!$B119)</f>
        <v/>
      </c>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6">
        <f>IF(COUNT(C119:AQ119)=0,"",SUM(C119:AQ119))</f>
        <v/>
      </c>
    </row>
    <row r="120">
      <c r="A120" s="30">
        <f>IF(Roster!$A120="","",Roster!$A120)</f>
        <v/>
      </c>
      <c r="B120" s="31">
        <f>IF(Roster!$B120="","",Roster!$C120&amp;" "&amp;Roster!$B120)</f>
        <v/>
      </c>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c r="AP120" s="10" t="n"/>
      <c r="AQ120" s="10" t="n"/>
      <c r="AR120" s="10" t="n"/>
      <c r="AS120" s="16">
        <f>IF(COUNT(C120:AQ120)=0,"",SUM(C120:AQ120))</f>
        <v/>
      </c>
    </row>
    <row r="121">
      <c r="A121" s="30">
        <f>IF(Roster!$A121="","",Roster!$A121)</f>
        <v/>
      </c>
      <c r="B121" s="31">
        <f>IF(Roster!$B121="","",Roster!$C121&amp;" "&amp;Roster!$B121)</f>
        <v/>
      </c>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6">
        <f>IF(COUNT(C121:AQ121)=0,"",SUM(C121:AQ121))</f>
        <v/>
      </c>
    </row>
    <row r="122">
      <c r="A122" s="30">
        <f>IF(Roster!$A122="","",Roster!$A122)</f>
        <v/>
      </c>
      <c r="B122" s="31">
        <f>IF(Roster!$B122="","",Roster!$C122&amp;" "&amp;Roster!$B122)</f>
        <v/>
      </c>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6">
        <f>IF(COUNT(C122:AQ122)=0,"",SUM(C122:AQ122))</f>
        <v/>
      </c>
    </row>
    <row r="123">
      <c r="A123" s="30">
        <f>IF(Roster!$A123="","",Roster!$A123)</f>
        <v/>
      </c>
      <c r="B123" s="31">
        <f>IF(Roster!$B123="","",Roster!$C123&amp;" "&amp;Roster!$B123)</f>
        <v/>
      </c>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6">
        <f>IF(COUNT(C123:AQ123)=0,"",SUM(C123:AQ123))</f>
        <v/>
      </c>
    </row>
    <row r="124">
      <c r="A124" s="30">
        <f>IF(Roster!$A124="","",Roster!$A124)</f>
        <v/>
      </c>
      <c r="B124" s="31">
        <f>IF(Roster!$B124="","",Roster!$C124&amp;" "&amp;Roster!$B124)</f>
        <v/>
      </c>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c r="AP124" s="10" t="n"/>
      <c r="AQ124" s="10" t="n"/>
      <c r="AR124" s="10" t="n"/>
      <c r="AS124" s="16">
        <f>IF(COUNT(C124:AQ124)=0,"",SUM(C124:AQ124))</f>
        <v/>
      </c>
    </row>
    <row r="125">
      <c r="A125" s="30">
        <f>IF(Roster!$A125="","",Roster!$A125)</f>
        <v/>
      </c>
      <c r="B125" s="31">
        <f>IF(Roster!$B125="","",Roster!$C125&amp;" "&amp;Roster!$B125)</f>
        <v/>
      </c>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6">
        <f>IF(COUNT(C125:AQ125)=0,"",SUM(C125:AQ125))</f>
        <v/>
      </c>
    </row>
    <row r="126">
      <c r="A126" s="30">
        <f>IF(Roster!$A126="","",Roster!$A126)</f>
        <v/>
      </c>
      <c r="B126" s="31">
        <f>IF(Roster!$B126="","",Roster!$C126&amp;" "&amp;Roster!$B126)</f>
        <v/>
      </c>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6">
        <f>IF(COUNT(C126:AQ126)=0,"",SUM(C126:AQ126))</f>
        <v/>
      </c>
    </row>
    <row r="127">
      <c r="A127" s="30">
        <f>IF(Roster!$A127="","",Roster!$A127)</f>
        <v/>
      </c>
      <c r="B127" s="31">
        <f>IF(Roster!$B127="","",Roster!$C127&amp;" "&amp;Roster!$B127)</f>
        <v/>
      </c>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6">
        <f>IF(COUNT(C127:AQ127)=0,"",SUM(C127:AQ127))</f>
        <v/>
      </c>
    </row>
    <row r="128">
      <c r="A128" s="30">
        <f>IF(Roster!$A128="","",Roster!$A128)</f>
        <v/>
      </c>
      <c r="B128" s="31">
        <f>IF(Roster!$B128="","",Roster!$C128&amp;" "&amp;Roster!$B128)</f>
        <v/>
      </c>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c r="AP128" s="10" t="n"/>
      <c r="AQ128" s="10" t="n"/>
      <c r="AR128" s="10" t="n"/>
      <c r="AS128" s="16">
        <f>IF(COUNT(C128:AQ128)=0,"",SUM(C128:AQ128))</f>
        <v/>
      </c>
    </row>
    <row r="129">
      <c r="A129" s="30">
        <f>IF(Roster!$A129="","",Roster!$A129)</f>
        <v/>
      </c>
      <c r="B129" s="31">
        <f>IF(Roster!$B129="","",Roster!$C129&amp;" "&amp;Roster!$B129)</f>
        <v/>
      </c>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6">
        <f>IF(COUNT(C129:AQ129)=0,"",SUM(C129:AQ129))</f>
        <v/>
      </c>
    </row>
    <row r="130">
      <c r="A130" s="30">
        <f>IF(Roster!$A130="","",Roster!$A130)</f>
        <v/>
      </c>
      <c r="B130" s="31">
        <f>IF(Roster!$B130="","",Roster!$C130&amp;" "&amp;Roster!$B130)</f>
        <v/>
      </c>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c r="AP130" s="10" t="n"/>
      <c r="AQ130" s="10" t="n"/>
      <c r="AR130" s="10" t="n"/>
      <c r="AS130" s="16">
        <f>IF(COUNT(C130:AQ130)=0,"",SUM(C130:AQ130))</f>
        <v/>
      </c>
    </row>
    <row r="131">
      <c r="A131" s="30">
        <f>IF(Roster!$A131="","",Roster!$A131)</f>
        <v/>
      </c>
      <c r="B131" s="31">
        <f>IF(Roster!$B131="","",Roster!$C131&amp;" "&amp;Roster!$B131)</f>
        <v/>
      </c>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6">
        <f>IF(COUNT(C131:AQ131)=0,"",SUM(C131:AQ131))</f>
        <v/>
      </c>
    </row>
    <row r="132">
      <c r="A132" s="30">
        <f>IF(Roster!$A132="","",Roster!$A132)</f>
        <v/>
      </c>
      <c r="B132" s="31">
        <f>IF(Roster!$B132="","",Roster!$C132&amp;" "&amp;Roster!$B132)</f>
        <v/>
      </c>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6">
        <f>IF(COUNT(C132:AQ132)=0,"",SUM(C132:AQ132))</f>
        <v/>
      </c>
    </row>
    <row r="133">
      <c r="A133" s="30">
        <f>IF(Roster!$A133="","",Roster!$A133)</f>
        <v/>
      </c>
      <c r="B133" s="31">
        <f>IF(Roster!$B133="","",Roster!$C133&amp;" "&amp;Roster!$B133)</f>
        <v/>
      </c>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6">
        <f>IF(COUNT(C133:AQ133)=0,"",SUM(C133:AQ133))</f>
        <v/>
      </c>
    </row>
    <row r="134">
      <c r="A134" s="30">
        <f>IF(Roster!$A134="","",Roster!$A134)</f>
        <v/>
      </c>
      <c r="B134" s="31">
        <f>IF(Roster!$B134="","",Roster!$C134&amp;" "&amp;Roster!$B134)</f>
        <v/>
      </c>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c r="AP134" s="10" t="n"/>
      <c r="AQ134" s="10" t="n"/>
      <c r="AR134" s="10" t="n"/>
      <c r="AS134" s="16">
        <f>IF(COUNT(C134:AQ134)=0,"",SUM(C134:AQ134))</f>
        <v/>
      </c>
    </row>
    <row r="135">
      <c r="A135" s="30">
        <f>IF(Roster!$A135="","",Roster!$A135)</f>
        <v/>
      </c>
      <c r="B135" s="31">
        <f>IF(Roster!$B135="","",Roster!$C135&amp;" "&amp;Roster!$B135)</f>
        <v/>
      </c>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6">
        <f>IF(COUNT(C135:AQ135)=0,"",SUM(C135:AQ135))</f>
        <v/>
      </c>
    </row>
    <row r="136">
      <c r="A136" s="30">
        <f>IF(Roster!$A136="","",Roster!$A136)</f>
        <v/>
      </c>
      <c r="B136" s="31">
        <f>IF(Roster!$B136="","",Roster!$C136&amp;" "&amp;Roster!$B136)</f>
        <v/>
      </c>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c r="AP136" s="10" t="n"/>
      <c r="AQ136" s="10" t="n"/>
      <c r="AR136" s="10" t="n"/>
      <c r="AS136" s="16">
        <f>IF(COUNT(C136:AQ136)=0,"",SUM(C136:AQ136))</f>
        <v/>
      </c>
    </row>
    <row r="137">
      <c r="A137" s="30">
        <f>IF(Roster!$A137="","",Roster!$A137)</f>
        <v/>
      </c>
      <c r="B137" s="31">
        <f>IF(Roster!$B137="","",Roster!$C137&amp;" "&amp;Roster!$B137)</f>
        <v/>
      </c>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6">
        <f>IF(COUNT(C137:AQ137)=0,"",SUM(C137:AQ137))</f>
        <v/>
      </c>
    </row>
    <row r="138">
      <c r="A138" s="30">
        <f>IF(Roster!$A138="","",Roster!$A138)</f>
        <v/>
      </c>
      <c r="B138" s="31">
        <f>IF(Roster!$B138="","",Roster!$C138&amp;" "&amp;Roster!$B138)</f>
        <v/>
      </c>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c r="AP138" s="10" t="n"/>
      <c r="AQ138" s="10" t="n"/>
      <c r="AR138" s="10" t="n"/>
      <c r="AS138" s="16">
        <f>IF(COUNT(C138:AQ138)=0,"",SUM(C138:AQ138))</f>
        <v/>
      </c>
    </row>
    <row r="139">
      <c r="A139" s="30">
        <f>IF(Roster!$A139="","",Roster!$A139)</f>
        <v/>
      </c>
      <c r="B139" s="31">
        <f>IF(Roster!$B139="","",Roster!$C139&amp;" "&amp;Roster!$B139)</f>
        <v/>
      </c>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c r="AP139" s="10" t="n"/>
      <c r="AQ139" s="10" t="n"/>
      <c r="AR139" s="10" t="n"/>
      <c r="AS139" s="16">
        <f>IF(COUNT(C139:AQ139)=0,"",SUM(C139:AQ139))</f>
        <v/>
      </c>
    </row>
    <row r="140">
      <c r="A140" s="30">
        <f>IF(Roster!$A140="","",Roster!$A140)</f>
        <v/>
      </c>
      <c r="B140" s="31">
        <f>IF(Roster!$B140="","",Roster!$C140&amp;" "&amp;Roster!$B140)</f>
        <v/>
      </c>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c r="AH140" s="10" t="n"/>
      <c r="AI140" s="10" t="n"/>
      <c r="AJ140" s="10" t="n"/>
      <c r="AK140" s="10" t="n"/>
      <c r="AL140" s="10" t="n"/>
      <c r="AM140" s="10" t="n"/>
      <c r="AN140" s="10" t="n"/>
      <c r="AO140" s="10" t="n"/>
      <c r="AP140" s="10" t="n"/>
      <c r="AQ140" s="10" t="n"/>
      <c r="AR140" s="10" t="n"/>
      <c r="AS140" s="16">
        <f>IF(COUNT(C140:AQ140)=0,"",SUM(C140:AQ140))</f>
        <v/>
      </c>
    </row>
    <row r="141">
      <c r="A141" s="30">
        <f>IF(Roster!$A141="","",Roster!$A141)</f>
        <v/>
      </c>
      <c r="B141" s="31">
        <f>IF(Roster!$B141="","",Roster!$C141&amp;" "&amp;Roster!$B141)</f>
        <v/>
      </c>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6">
        <f>IF(COUNT(C141:AQ141)=0,"",SUM(C141:AQ141))</f>
        <v/>
      </c>
    </row>
    <row r="142">
      <c r="A142" s="30">
        <f>IF(Roster!$A142="","",Roster!$A142)</f>
        <v/>
      </c>
      <c r="B142" s="31">
        <f>IF(Roster!$B142="","",Roster!$C142&amp;" "&amp;Roster!$B142)</f>
        <v/>
      </c>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0" t="n"/>
      <c r="AL142" s="10" t="n"/>
      <c r="AM142" s="10" t="n"/>
      <c r="AN142" s="10" t="n"/>
      <c r="AO142" s="10" t="n"/>
      <c r="AP142" s="10" t="n"/>
      <c r="AQ142" s="10" t="n"/>
      <c r="AR142" s="10" t="n"/>
      <c r="AS142" s="16">
        <f>IF(COUNT(C142:AQ142)=0,"",SUM(C142:AQ142))</f>
        <v/>
      </c>
    </row>
    <row r="143">
      <c r="A143" s="30">
        <f>IF(Roster!$A143="","",Roster!$A143)</f>
        <v/>
      </c>
      <c r="B143" s="31">
        <f>IF(Roster!$B143="","",Roster!$C143&amp;" "&amp;Roster!$B143)</f>
        <v/>
      </c>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c r="AH143" s="10" t="n"/>
      <c r="AI143" s="10" t="n"/>
      <c r="AJ143" s="10" t="n"/>
      <c r="AK143" s="10" t="n"/>
      <c r="AL143" s="10" t="n"/>
      <c r="AM143" s="10" t="n"/>
      <c r="AN143" s="10" t="n"/>
      <c r="AO143" s="10" t="n"/>
      <c r="AP143" s="10" t="n"/>
      <c r="AQ143" s="10" t="n"/>
      <c r="AR143" s="10" t="n"/>
      <c r="AS143" s="16">
        <f>IF(COUNT(C143:AQ143)=0,"",SUM(C143:AQ143))</f>
        <v/>
      </c>
    </row>
    <row r="144">
      <c r="A144" s="30">
        <f>IF(Roster!$A144="","",Roster!$A144)</f>
        <v/>
      </c>
      <c r="B144" s="31">
        <f>IF(Roster!$B144="","",Roster!$C144&amp;" "&amp;Roster!$B144)</f>
        <v/>
      </c>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c r="AJ144" s="10" t="n"/>
      <c r="AK144" s="10" t="n"/>
      <c r="AL144" s="10" t="n"/>
      <c r="AM144" s="10" t="n"/>
      <c r="AN144" s="10" t="n"/>
      <c r="AO144" s="10" t="n"/>
      <c r="AP144" s="10" t="n"/>
      <c r="AQ144" s="10" t="n"/>
      <c r="AR144" s="10" t="n"/>
      <c r="AS144" s="16">
        <f>IF(COUNT(C144:AQ144)=0,"",SUM(C144:AQ144))</f>
        <v/>
      </c>
    </row>
    <row r="145">
      <c r="A145" s="30">
        <f>IF(Roster!$A145="","",Roster!$A145)</f>
        <v/>
      </c>
      <c r="B145" s="31">
        <f>IF(Roster!$B145="","",Roster!$C145&amp;" "&amp;Roster!$B145)</f>
        <v/>
      </c>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c r="AJ145" s="10" t="n"/>
      <c r="AK145" s="10" t="n"/>
      <c r="AL145" s="10" t="n"/>
      <c r="AM145" s="10" t="n"/>
      <c r="AN145" s="10" t="n"/>
      <c r="AO145" s="10" t="n"/>
      <c r="AP145" s="10" t="n"/>
      <c r="AQ145" s="10" t="n"/>
      <c r="AR145" s="10" t="n"/>
      <c r="AS145" s="16">
        <f>IF(COUNT(C145:AQ145)=0,"",SUM(C145:AQ145))</f>
        <v/>
      </c>
    </row>
    <row r="146">
      <c r="A146" s="30">
        <f>IF(Roster!$A146="","",Roster!$A146)</f>
        <v/>
      </c>
      <c r="B146" s="31">
        <f>IF(Roster!$B146="","",Roster!$C146&amp;" "&amp;Roster!$B146)</f>
        <v/>
      </c>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c r="AH146" s="10" t="n"/>
      <c r="AI146" s="10" t="n"/>
      <c r="AJ146" s="10" t="n"/>
      <c r="AK146" s="10" t="n"/>
      <c r="AL146" s="10" t="n"/>
      <c r="AM146" s="10" t="n"/>
      <c r="AN146" s="10" t="n"/>
      <c r="AO146" s="10" t="n"/>
      <c r="AP146" s="10" t="n"/>
      <c r="AQ146" s="10" t="n"/>
      <c r="AR146" s="10" t="n"/>
      <c r="AS146" s="16">
        <f>IF(COUNT(C146:AQ146)=0,"",SUM(C146:AQ146))</f>
        <v/>
      </c>
    </row>
    <row r="147">
      <c r="A147" s="30">
        <f>IF(Roster!$A147="","",Roster!$A147)</f>
        <v/>
      </c>
      <c r="B147" s="31">
        <f>IF(Roster!$B147="","",Roster!$C147&amp;" "&amp;Roster!$B147)</f>
        <v/>
      </c>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c r="AH147" s="10" t="n"/>
      <c r="AI147" s="10" t="n"/>
      <c r="AJ147" s="10" t="n"/>
      <c r="AK147" s="10" t="n"/>
      <c r="AL147" s="10" t="n"/>
      <c r="AM147" s="10" t="n"/>
      <c r="AN147" s="10" t="n"/>
      <c r="AO147" s="10" t="n"/>
      <c r="AP147" s="10" t="n"/>
      <c r="AQ147" s="10" t="n"/>
      <c r="AR147" s="10" t="n"/>
      <c r="AS147" s="16">
        <f>IF(COUNT(C147:AQ147)=0,"",SUM(C147:AQ147))</f>
        <v/>
      </c>
    </row>
    <row r="148">
      <c r="A148" s="30">
        <f>IF(Roster!$A148="","",Roster!$A148)</f>
        <v/>
      </c>
      <c r="B148" s="31">
        <f>IF(Roster!$B148="","",Roster!$C148&amp;" "&amp;Roster!$B148)</f>
        <v/>
      </c>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0" t="n"/>
      <c r="AL148" s="10" t="n"/>
      <c r="AM148" s="10" t="n"/>
      <c r="AN148" s="10" t="n"/>
      <c r="AO148" s="10" t="n"/>
      <c r="AP148" s="10" t="n"/>
      <c r="AQ148" s="10" t="n"/>
      <c r="AR148" s="10" t="n"/>
      <c r="AS148" s="16">
        <f>IF(COUNT(C148:AQ148)=0,"",SUM(C148:AQ148))</f>
        <v/>
      </c>
    </row>
    <row r="149">
      <c r="A149" s="30">
        <f>IF(Roster!$A149="","",Roster!$A149)</f>
        <v/>
      </c>
      <c r="B149" s="31">
        <f>IF(Roster!$B149="","",Roster!$C149&amp;" "&amp;Roster!$B149)</f>
        <v/>
      </c>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c r="AJ149" s="10" t="n"/>
      <c r="AK149" s="10" t="n"/>
      <c r="AL149" s="10" t="n"/>
      <c r="AM149" s="10" t="n"/>
      <c r="AN149" s="10" t="n"/>
      <c r="AO149" s="10" t="n"/>
      <c r="AP149" s="10" t="n"/>
      <c r="AQ149" s="10" t="n"/>
      <c r="AR149" s="10" t="n"/>
      <c r="AS149" s="16">
        <f>IF(COUNT(C149:AQ149)=0,"",SUM(C149:AQ149))</f>
        <v/>
      </c>
    </row>
    <row r="150">
      <c r="A150" s="30">
        <f>IF(Roster!$A150="","",Roster!$A150)</f>
        <v/>
      </c>
      <c r="B150" s="31">
        <f>IF(Roster!$B150="","",Roster!$C150&amp;" "&amp;Roster!$B150)</f>
        <v/>
      </c>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c r="AH150" s="10" t="n"/>
      <c r="AI150" s="10" t="n"/>
      <c r="AJ150" s="10" t="n"/>
      <c r="AK150" s="10" t="n"/>
      <c r="AL150" s="10" t="n"/>
      <c r="AM150" s="10" t="n"/>
      <c r="AN150" s="10" t="n"/>
      <c r="AO150" s="10" t="n"/>
      <c r="AP150" s="10" t="n"/>
      <c r="AQ150" s="10" t="n"/>
      <c r="AR150" s="10" t="n"/>
      <c r="AS150" s="16">
        <f>IF(COUNT(C150:AQ150)=0,"",SUM(C150:AQ150))</f>
        <v/>
      </c>
    </row>
    <row r="151">
      <c r="A151" s="30">
        <f>IF(Roster!$A151="","",Roster!$A151)</f>
        <v/>
      </c>
      <c r="B151" s="31">
        <f>IF(Roster!$B151="","",Roster!$C151&amp;" "&amp;Roster!$B151)</f>
        <v/>
      </c>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c r="AJ151" s="10" t="n"/>
      <c r="AK151" s="10" t="n"/>
      <c r="AL151" s="10" t="n"/>
      <c r="AM151" s="10" t="n"/>
      <c r="AN151" s="10" t="n"/>
      <c r="AO151" s="10" t="n"/>
      <c r="AP151" s="10" t="n"/>
      <c r="AQ151" s="10" t="n"/>
      <c r="AR151" s="10" t="n"/>
      <c r="AS151" s="16">
        <f>IF(COUNT(C151:AQ151)=0,"",SUM(C151:AQ151))</f>
        <v/>
      </c>
    </row>
    <row r="152">
      <c r="A152" s="30">
        <f>IF(Roster!$A152="","",Roster!$A152)</f>
        <v/>
      </c>
      <c r="B152" s="31">
        <f>IF(Roster!$B152="","",Roster!$C152&amp;" "&amp;Roster!$B152)</f>
        <v/>
      </c>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c r="AH152" s="10" t="n"/>
      <c r="AI152" s="10" t="n"/>
      <c r="AJ152" s="10" t="n"/>
      <c r="AK152" s="10" t="n"/>
      <c r="AL152" s="10" t="n"/>
      <c r="AM152" s="10" t="n"/>
      <c r="AN152" s="10" t="n"/>
      <c r="AO152" s="10" t="n"/>
      <c r="AP152" s="10" t="n"/>
      <c r="AQ152" s="10" t="n"/>
      <c r="AR152" s="10" t="n"/>
      <c r="AS152" s="16">
        <f>IF(COUNT(C152:AQ152)=0,"",SUM(C152:AQ152))</f>
        <v/>
      </c>
    </row>
    <row r="153">
      <c r="A153" s="30">
        <f>IF(Roster!$A153="","",Roster!$A153)</f>
        <v/>
      </c>
      <c r="B153" s="31">
        <f>IF(Roster!$B153="","",Roster!$C153&amp;" "&amp;Roster!$B153)</f>
        <v/>
      </c>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c r="AH153" s="10" t="n"/>
      <c r="AI153" s="10" t="n"/>
      <c r="AJ153" s="10" t="n"/>
      <c r="AK153" s="10" t="n"/>
      <c r="AL153" s="10" t="n"/>
      <c r="AM153" s="10" t="n"/>
      <c r="AN153" s="10" t="n"/>
      <c r="AO153" s="10" t="n"/>
      <c r="AP153" s="10" t="n"/>
      <c r="AQ153" s="10" t="n"/>
      <c r="AR153" s="10" t="n"/>
      <c r="AS153" s="16">
        <f>IF(COUNT(C153:AQ153)=0,"",SUM(C153:AQ153))</f>
        <v/>
      </c>
    </row>
    <row r="154">
      <c r="A154" s="30">
        <f>IF(Roster!$A154="","",Roster!$A154)</f>
        <v/>
      </c>
      <c r="B154" s="31">
        <f>IF(Roster!$B154="","",Roster!$C154&amp;" "&amp;Roster!$B154)</f>
        <v/>
      </c>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c r="AH154" s="10" t="n"/>
      <c r="AI154" s="10" t="n"/>
      <c r="AJ154" s="10" t="n"/>
      <c r="AK154" s="10" t="n"/>
      <c r="AL154" s="10" t="n"/>
      <c r="AM154" s="10" t="n"/>
      <c r="AN154" s="10" t="n"/>
      <c r="AO154" s="10" t="n"/>
      <c r="AP154" s="10" t="n"/>
      <c r="AQ154" s="10" t="n"/>
      <c r="AR154" s="10" t="n"/>
      <c r="AS154" s="16">
        <f>IF(COUNT(C154:AQ154)=0,"",SUM(C154:AQ154))</f>
        <v/>
      </c>
    </row>
    <row r="155">
      <c r="A155" s="30">
        <f>IF(Roster!$A155="","",Roster!$A155)</f>
        <v/>
      </c>
      <c r="B155" s="31">
        <f>IF(Roster!$B155="","",Roster!$C155&amp;" "&amp;Roster!$B155)</f>
        <v/>
      </c>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c r="AJ155" s="10" t="n"/>
      <c r="AK155" s="10" t="n"/>
      <c r="AL155" s="10" t="n"/>
      <c r="AM155" s="10" t="n"/>
      <c r="AN155" s="10" t="n"/>
      <c r="AO155" s="10" t="n"/>
      <c r="AP155" s="10" t="n"/>
      <c r="AQ155" s="10" t="n"/>
      <c r="AR155" s="10" t="n"/>
      <c r="AS155" s="16">
        <f>IF(COUNT(C155:AQ155)=0,"",SUM(C155:AQ155))</f>
        <v/>
      </c>
    </row>
  </sheetData>
  <mergeCells count="2">
    <mergeCell ref="A2:AS2"/>
    <mergeCell ref="A1:AS1"/>
  </mergeCells>
  <conditionalFormatting sqref="C6:AQ155">
    <cfRule type="expression" priority="1" dxfId="0">
      <formula>AND(C6&lt;&gt;"",C6&gt;C$4)</formula>
    </cfRule>
  </conditionalFormatting>
  <dataValidations count="1">
    <dataValidation sqref="AR6:AR155" showDropDown="0" showInputMessage="0" showErrorMessage="0" allowBlank="1" type="list">
      <formula1>"A,B,C,D,E"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1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8" customWidth="1" min="3" max="3"/>
    <col width="8" customWidth="1" min="4" max="4"/>
    <col width="8" customWidth="1" min="5" max="5"/>
    <col width="20" customWidth="1" min="6" max="6"/>
    <col width="8" customWidth="1" min="7" max="7"/>
    <col width="8" customWidth="1" min="8" max="8"/>
    <col width="20" customWidth="1" min="9" max="9"/>
    <col width="9" customWidth="1" min="10" max="10"/>
    <col width="11" customWidth="1" min="11" max="11"/>
    <col width="8" customWidth="1" min="12" max="12"/>
    <col width="11" customWidth="1" min="13" max="13"/>
    <col width="10" customWidth="1" min="14" max="14"/>
    <col width="7.5" customWidth="1" min="15" max="15"/>
    <col width="7.5" customWidth="1" min="16" max="16"/>
    <col width="7.5" customWidth="1" min="17" max="17"/>
    <col width="7.5" customWidth="1" min="18" max="18"/>
    <col width="7.5" customWidth="1" min="19" max="19"/>
    <col width="7.5" customWidth="1" min="20" max="20"/>
    <col width="7.5" customWidth="1" min="21" max="21"/>
    <col width="7.5" customWidth="1" min="22" max="22"/>
    <col width="7.5" customWidth="1" min="23" max="23"/>
    <col width="7.5" customWidth="1" min="24" max="24"/>
    <col width="7.5" customWidth="1" min="25" max="25"/>
    <col width="7.5" customWidth="1" min="26" max="26"/>
    <col width="7.5" customWidth="1" min="27" max="27"/>
    <col width="7.5" customWidth="1" min="28" max="28"/>
    <col width="7.5" customWidth="1" min="29" max="29"/>
    <col width="7.5" customWidth="1" min="30" max="30"/>
    <col width="7.5" customWidth="1" min="31" max="31"/>
    <col width="7.5" customWidth="1" min="32" max="32"/>
    <col width="7.5" customWidth="1" min="33" max="33"/>
    <col width="7.5" customWidth="1" min="34" max="34"/>
    <col width="7.5" customWidth="1" min="35" max="35"/>
    <col width="13" customWidth="1" min="36" max="36"/>
    <col width="12" customWidth="1" min="37" max="37"/>
    <col width="11" customWidth="1" min="38" max="38"/>
    <col width="16" customWidth="1" min="39" max="39"/>
    <col width="62" customWidth="1" min="40" max="40"/>
    <col hidden="1" width="13" customWidth="1" min="42" max="42"/>
    <col hidden="1" width="13" customWidth="1" min="43" max="43"/>
  </cols>
  <sheetData>
    <row r="1" ht="30" customHeight="1">
      <c r="A1" s="1" t="inlineStr">
        <is>
          <t>Student Report — individual profiles, growth, and recommended focus</t>
        </is>
      </c>
    </row>
    <row r="2">
      <c r="A2" s="8" t="inlineStr">
        <is>
          <t>Every cell on this sheet is computed. A blank row means no scores have been entered for that student yet. 'NEAR CUT' means the student's score is within one standard error of a level boundary — for those students, trust the category profile and your own classroom evidence, not the level label.</t>
        </is>
      </c>
    </row>
    <row r="3">
      <c r="D3" s="32" t="inlineStr">
        <is>
          <t>PRE-TEST (Form A)</t>
        </is>
      </c>
      <c r="G3" s="33" t="inlineStr">
        <is>
          <t>POST-TEST (Form B)</t>
        </is>
      </c>
      <c r="J3" s="34" t="inlineStr">
        <is>
          <t>GROWTH</t>
        </is>
      </c>
      <c r="O3" s="32" t="inlineStr">
        <is>
          <t>CATEGORY % — PRE</t>
        </is>
      </c>
      <c r="V3" s="33" t="inlineStr">
        <is>
          <t>CATEGORY % — POST</t>
        </is>
      </c>
      <c r="AC3" s="34" t="inlineStr">
        <is>
          <t>CATEGORY CHANGE (percentage points)</t>
        </is>
      </c>
      <c r="AJ3" s="35" t="inlineStr">
        <is>
          <t>ACTION</t>
        </is>
      </c>
    </row>
    <row r="4">
      <c r="O4" s="36" t="inlineStr">
        <is>
          <t>I-CSS</t>
        </is>
      </c>
      <c r="P4" s="36" t="inlineStr">
        <is>
          <t>I-TEC</t>
        </is>
      </c>
      <c r="Q4" s="36" t="inlineStr">
        <is>
          <t>I-PRA</t>
        </is>
      </c>
      <c r="R4" s="36" t="inlineStr">
        <is>
          <t>I-LNG</t>
        </is>
      </c>
      <c r="S4" s="36" t="inlineStr">
        <is>
          <t>C-CSS</t>
        </is>
      </c>
      <c r="T4" s="36" t="inlineStr">
        <is>
          <t>C-TEC</t>
        </is>
      </c>
      <c r="U4" s="36" t="inlineStr">
        <is>
          <t>C-LNG</t>
        </is>
      </c>
      <c r="V4" s="36" t="inlineStr">
        <is>
          <t>I-CSS</t>
        </is>
      </c>
      <c r="W4" s="36" t="inlineStr">
        <is>
          <t>I-TEC</t>
        </is>
      </c>
      <c r="X4" s="36" t="inlineStr">
        <is>
          <t>I-PRA</t>
        </is>
      </c>
      <c r="Y4" s="36" t="inlineStr">
        <is>
          <t>I-LNG</t>
        </is>
      </c>
      <c r="Z4" s="36" t="inlineStr">
        <is>
          <t>C-CSS</t>
        </is>
      </c>
      <c r="AA4" s="36" t="inlineStr">
        <is>
          <t>C-TEC</t>
        </is>
      </c>
      <c r="AB4" s="36" t="inlineStr">
        <is>
          <t>C-LNG</t>
        </is>
      </c>
      <c r="AC4" s="36" t="inlineStr">
        <is>
          <t>I-CSS</t>
        </is>
      </c>
      <c r="AD4" s="36" t="inlineStr">
        <is>
          <t>I-TEC</t>
        </is>
      </c>
      <c r="AE4" s="36" t="inlineStr">
        <is>
          <t>I-PRA</t>
        </is>
      </c>
      <c r="AF4" s="36" t="inlineStr">
        <is>
          <t>I-LNG</t>
        </is>
      </c>
      <c r="AG4" s="36" t="inlineStr">
        <is>
          <t>C-CSS</t>
        </is>
      </c>
      <c r="AH4" s="36" t="inlineStr">
        <is>
          <t>C-TEC</t>
        </is>
      </c>
      <c r="AI4" s="36" t="inlineStr">
        <is>
          <t>C-LNG</t>
        </is>
      </c>
    </row>
    <row r="5">
      <c r="A5" s="15" t="inlineStr">
        <is>
          <t>Student ID</t>
        </is>
      </c>
      <c r="B5" s="15" t="inlineStr">
        <is>
          <t>Student Name</t>
        </is>
      </c>
      <c r="C5" s="15" t="inlineStr">
        <is>
          <t>Period</t>
        </is>
      </c>
      <c r="D5" s="15" t="inlineStr">
        <is>
          <t>Total</t>
        </is>
      </c>
      <c r="E5" s="15" t="inlineStr">
        <is>
          <t>%</t>
        </is>
      </c>
      <c r="F5" s="15" t="inlineStr">
        <is>
          <t>Level</t>
        </is>
      </c>
      <c r="G5" s="15" t="inlineStr">
        <is>
          <t>Total</t>
        </is>
      </c>
      <c r="H5" s="15" t="inlineStr">
        <is>
          <t>%</t>
        </is>
      </c>
      <c r="I5" s="15" t="inlineStr">
        <is>
          <t>Level</t>
        </is>
      </c>
      <c r="J5" s="15" t="inlineStr">
        <is>
          <t>Raw gain</t>
        </is>
      </c>
      <c r="K5" s="15" t="inlineStr">
        <is>
          <t>% of possible gain</t>
        </is>
      </c>
      <c r="L5" s="15" t="inlineStr">
        <is>
          <t>RCI</t>
        </is>
      </c>
      <c r="M5" s="15" t="inlineStr">
        <is>
          <t>Reliable change?</t>
        </is>
      </c>
      <c r="N5" s="15" t="inlineStr">
        <is>
          <t>Met target?</t>
        </is>
      </c>
      <c r="O5" s="15" t="inlineStr">
        <is>
          <t>I-CSS</t>
        </is>
      </c>
      <c r="P5" s="15" t="inlineStr">
        <is>
          <t>I-TEC</t>
        </is>
      </c>
      <c r="Q5" s="15" t="inlineStr">
        <is>
          <t>I-PRA</t>
        </is>
      </c>
      <c r="R5" s="15" t="inlineStr">
        <is>
          <t>I-LNG</t>
        </is>
      </c>
      <c r="S5" s="15" t="inlineStr">
        <is>
          <t>C-CSS</t>
        </is>
      </c>
      <c r="T5" s="15" t="inlineStr">
        <is>
          <t>C-TEC</t>
        </is>
      </c>
      <c r="U5" s="15" t="inlineStr">
        <is>
          <t>C-LNG</t>
        </is>
      </c>
      <c r="V5" s="15" t="inlineStr">
        <is>
          <t>I-CSS</t>
        </is>
      </c>
      <c r="W5" s="15" t="inlineStr">
        <is>
          <t>I-TEC</t>
        </is>
      </c>
      <c r="X5" s="15" t="inlineStr">
        <is>
          <t>I-PRA</t>
        </is>
      </c>
      <c r="Y5" s="15" t="inlineStr">
        <is>
          <t>I-LNG</t>
        </is>
      </c>
      <c r="Z5" s="15" t="inlineStr">
        <is>
          <t>C-CSS</t>
        </is>
      </c>
      <c r="AA5" s="15" t="inlineStr">
        <is>
          <t>C-TEC</t>
        </is>
      </c>
      <c r="AB5" s="15" t="inlineStr">
        <is>
          <t>C-LNG</t>
        </is>
      </c>
      <c r="AC5" s="15" t="inlineStr">
        <is>
          <t>I-CSS</t>
        </is>
      </c>
      <c r="AD5" s="15" t="inlineStr">
        <is>
          <t>I-TEC</t>
        </is>
      </c>
      <c r="AE5" s="15" t="inlineStr">
        <is>
          <t>I-PRA</t>
        </is>
      </c>
      <c r="AF5" s="15" t="inlineStr">
        <is>
          <t>I-LNG</t>
        </is>
      </c>
      <c r="AG5" s="15" t="inlineStr">
        <is>
          <t>C-CSS</t>
        </is>
      </c>
      <c r="AH5" s="15" t="inlineStr">
        <is>
          <t>C-TEC</t>
        </is>
      </c>
      <c r="AI5" s="15" t="inlineStr">
        <is>
          <t>C-LNG</t>
        </is>
      </c>
      <c r="AJ5" s="15" t="inlineStr">
        <is>
          <t>Weakest category</t>
        </is>
      </c>
      <c r="AK5" s="15" t="inlineStr">
        <is>
          <t>2nd weakest</t>
        </is>
      </c>
      <c r="AL5" s="15" t="inlineStr">
        <is>
          <t>Near cut?</t>
        </is>
      </c>
      <c r="AM5" s="15" t="inlineStr">
        <is>
          <t>Essay flag</t>
        </is>
      </c>
      <c r="AN5" s="15" t="inlineStr">
        <is>
          <t>Recommended focus</t>
        </is>
      </c>
      <c r="AP5" s="7" t="inlineStr">
        <is>
          <t>helper: pre^2</t>
        </is>
      </c>
      <c r="AQ5" s="7" t="inlineStr">
        <is>
          <t>helper: post^2</t>
        </is>
      </c>
    </row>
    <row r="6">
      <c r="A6" s="30">
        <f>IF(Roster!$A6="","",Roster!$A6)</f>
        <v/>
      </c>
      <c r="B6" s="31">
        <f>IF(Roster!$B6&lt;&gt;"",Roster!$C6&amp;" "&amp;Roster!$B6,"")</f>
        <v/>
      </c>
      <c r="C6" s="30">
        <f>IF(Roster!$B6&lt;&gt;"",Roster!$D6,"")</f>
        <v/>
      </c>
      <c r="D6" s="16">
        <f>IF(AND(Roster!$B6&lt;&gt;"",COUNT('Pre-Test Entry'!$C6:$AQ6)&gt;0),'Pre-Test Entry'!$AS6,"")</f>
        <v/>
      </c>
      <c r="E6" s="37">
        <f>IFERROR(D6/Settings!$B$8,"")</f>
        <v/>
      </c>
      <c r="F6" s="31">
        <f>IF(D6="","",IF(D6&gt;=Settings!$B$7,"Distinguished Learner",IF(D6&gt;=Settings!$B$6,"Proficient Learner",IF(D6&gt;=Settings!$B$5,"Developing Learner","Beginning Learner"))))</f>
        <v/>
      </c>
      <c r="G6" s="16">
        <f>IF(AND(Roster!$B6&lt;&gt;"",COUNT('Post-Test Entry'!$C6:$AQ6)&gt;0),'Post-Test Entry'!$AS6,"")</f>
        <v/>
      </c>
      <c r="H6" s="37">
        <f>IFERROR(G6/Settings!$B$8,"")</f>
        <v/>
      </c>
      <c r="I6" s="31">
        <f>IF(G6="","",IF(G6&gt;=Settings!$B$7,"Distinguished Learner",IF(G6&gt;=Settings!$B$6,"Proficient Learner",IF(G6&gt;=Settings!$B$5,"Developing Learner","Beginning Learner"))))</f>
        <v/>
      </c>
      <c r="J6" s="16">
        <f>IF(OR(D6="",G6=""),"",G6-D6)</f>
        <v/>
      </c>
      <c r="K6" s="37">
        <f>IFERROR(IF(OR(J6="",J6&lt;=0),"",(G6-D6)/(Settings!$B$8-D6)),"")</f>
        <v/>
      </c>
      <c r="L6" s="38">
        <f>IFERROR(IF(J6="","",(G6-D6)/(Settings!$B$17*SQRT(2))),"")</f>
        <v/>
      </c>
      <c r="M6" s="30">
        <f>IF(L6="","",IF(ABS(L6)&gt;=1.96,"Yes","No"))</f>
        <v/>
      </c>
      <c r="N6" s="30">
        <f>IF(J6="","",IF(J6&gt;=Settings!$B$15,"Yes","No"))</f>
        <v/>
      </c>
      <c r="O6" s="37">
        <f>IFERROR(IF($D6="","",SUMIF('Pre-Test Entry'!$C$3:$AQ$3,Settings!$A$28,'Pre-Test Entry'!$C6:$AQ6)/Settings!$C$28),"")</f>
        <v/>
      </c>
      <c r="P6" s="37">
        <f>IFERROR(IF($D6="","",SUMIF('Pre-Test Entry'!$C$3:$AQ$3,Settings!$A$29,'Pre-Test Entry'!$C6:$AQ6)/Settings!$C$29),"")</f>
        <v/>
      </c>
      <c r="Q6" s="37">
        <f>IFERROR(IF($D6="","",SUMIF('Pre-Test Entry'!$C$3:$AQ$3,Settings!$A$30,'Pre-Test Entry'!$C6:$AQ6)/Settings!$C$30),"")</f>
        <v/>
      </c>
      <c r="R6" s="37">
        <f>IFERROR(IF($D6="","",SUMIF('Pre-Test Entry'!$C$3:$AQ$3,Settings!$A$31,'Pre-Test Entry'!$C6:$AQ6)/Settings!$C$31),"")</f>
        <v/>
      </c>
      <c r="S6" s="37">
        <f>IFERROR(IF($D6="","",SUMIF('Pre-Test Entry'!$C$3:$AQ$3,Settings!$A$32,'Pre-Test Entry'!$C6:$AQ6)/Settings!$C$32),"")</f>
        <v/>
      </c>
      <c r="T6" s="37">
        <f>IFERROR(IF($D6="","",SUMIF('Pre-Test Entry'!$C$3:$AQ$3,Settings!$A$33,'Pre-Test Entry'!$C6:$AQ6)/Settings!$C$33),"")</f>
        <v/>
      </c>
      <c r="U6" s="37">
        <f>IFERROR(IF($D6="","",SUMIF('Pre-Test Entry'!$C$3:$AQ$3,Settings!$A$34,'Pre-Test Entry'!$C6:$AQ6)/Settings!$C$34),"")</f>
        <v/>
      </c>
      <c r="V6" s="37">
        <f>IFERROR(IF($G6="","",SUMIF('Post-Test Entry'!$C$3:$AQ$3,Settings!$A$28,'Post-Test Entry'!$C6:$AQ6)/Settings!$C$28),"")</f>
        <v/>
      </c>
      <c r="W6" s="37">
        <f>IFERROR(IF($G6="","",SUMIF('Post-Test Entry'!$C$3:$AQ$3,Settings!$A$29,'Post-Test Entry'!$C6:$AQ6)/Settings!$C$29),"")</f>
        <v/>
      </c>
      <c r="X6" s="37">
        <f>IFERROR(IF($G6="","",SUMIF('Post-Test Entry'!$C$3:$AQ$3,Settings!$A$30,'Post-Test Entry'!$C6:$AQ6)/Settings!$C$30),"")</f>
        <v/>
      </c>
      <c r="Y6" s="37">
        <f>IFERROR(IF($G6="","",SUMIF('Post-Test Entry'!$C$3:$AQ$3,Settings!$A$31,'Post-Test Entry'!$C6:$AQ6)/Settings!$C$31),"")</f>
        <v/>
      </c>
      <c r="Z6" s="37">
        <f>IFERROR(IF($G6="","",SUMIF('Post-Test Entry'!$C$3:$AQ$3,Settings!$A$32,'Post-Test Entry'!$C6:$AQ6)/Settings!$C$32),"")</f>
        <v/>
      </c>
      <c r="AA6" s="37">
        <f>IFERROR(IF($G6="","",SUMIF('Post-Test Entry'!$C$3:$AQ$3,Settings!$A$33,'Post-Test Entry'!$C6:$AQ6)/Settings!$C$33),"")</f>
        <v/>
      </c>
      <c r="AB6" s="37">
        <f>IFERROR(IF($G6="","",SUMIF('Post-Test Entry'!$C$3:$AQ$3,Settings!$A$34,'Post-Test Entry'!$C6:$AQ6)/Settings!$C$34),"")</f>
        <v/>
      </c>
      <c r="AC6" s="37">
        <f>IF(OR(O6="",V6=""),"",V6-O6)</f>
        <v/>
      </c>
      <c r="AD6" s="37">
        <f>IF(OR(P6="",W6=""),"",W6-P6)</f>
        <v/>
      </c>
      <c r="AE6" s="37">
        <f>IF(OR(Q6="",X6=""),"",X6-Q6)</f>
        <v/>
      </c>
      <c r="AF6" s="37">
        <f>IF(OR(R6="",Y6=""),"",Y6-R6)</f>
        <v/>
      </c>
      <c r="AG6" s="37">
        <f>IF(OR(S6="",Z6=""),"",Z6-S6)</f>
        <v/>
      </c>
      <c r="AH6" s="37">
        <f>IF(OR(T6="",AA6=""),"",AA6-T6)</f>
        <v/>
      </c>
      <c r="AI6" s="37">
        <f>IF(OR(U6="",AB6=""),"",AB6-U6)</f>
        <v/>
      </c>
      <c r="AJ6" s="30">
        <f>IFERROR(IF($G6&lt;&gt;"",INDEX($V$4:$AB$4,MATCH(MIN($V6:$AB6),$V6:$AB6,0)),IF($D6&lt;&gt;"",INDEX($O$4:$U$4,MATCH(MIN($O6:$U6),$O6:$U6,0)),"")),"")</f>
        <v/>
      </c>
      <c r="AK6" s="30">
        <f>IFERROR(IF($G6&lt;&gt;"",INDEX($V$4:$AB$4,MATCH(SMALL($V6:$AB6,2),$V6:$AB6,0)),IF($D6&lt;&gt;"",INDEX($O$4:$U$4,MATCH(SMALL($O6:$U6,2),$O6:$U6,0)),"")),"")</f>
        <v/>
      </c>
      <c r="AL6" s="30">
        <f>IF(OR(G6="",Settings!$B$17=""),"",IF(OR(ABS(G6-Settings!$B$5)&lt;=Settings!$B$17,ABS(G6-Settings!$B$6)&lt;=Settings!$B$17,ABS(G6-Settings!$B$7)&lt;=Settings!$B$17),"NEAR CUT",""))</f>
        <v/>
      </c>
      <c r="AM6" s="31">
        <f>IF('Post-Test Entry'!$AR6&lt;&gt;"","Post essay: code "&amp;'Post-Test Entry'!$AR6,IF('Pre-Test Entry'!$AR6&lt;&gt;"","Pre essay: code "&amp;'Pre-Test Entry'!$AR6,""))</f>
        <v/>
      </c>
      <c r="AN6" s="39">
        <f>IFERROR(IF($AJ6="","",INDEX(Settings!$D$28:$D$34,MATCH($AJ6,Settings!$A$28:$A$34,0))),"")</f>
        <v/>
      </c>
      <c r="AP6">
        <f>IF(D6="","",D6^2)</f>
        <v/>
      </c>
      <c r="AQ6">
        <f>IF(G6="","",G6^2)</f>
        <v/>
      </c>
    </row>
    <row r="7">
      <c r="A7" s="30">
        <f>IF(Roster!$A7="","",Roster!$A7)</f>
        <v/>
      </c>
      <c r="B7" s="31">
        <f>IF(Roster!$B7&lt;&gt;"",Roster!$C7&amp;" "&amp;Roster!$B7,"")</f>
        <v/>
      </c>
      <c r="C7" s="30">
        <f>IF(Roster!$B7&lt;&gt;"",Roster!$D7,"")</f>
        <v/>
      </c>
      <c r="D7" s="16">
        <f>IF(AND(Roster!$B7&lt;&gt;"",COUNT('Pre-Test Entry'!$C7:$AQ7)&gt;0),'Pre-Test Entry'!$AS7,"")</f>
        <v/>
      </c>
      <c r="E7" s="37">
        <f>IFERROR(D7/Settings!$B$8,"")</f>
        <v/>
      </c>
      <c r="F7" s="31">
        <f>IF(D7="","",IF(D7&gt;=Settings!$B$7,"Distinguished Learner",IF(D7&gt;=Settings!$B$6,"Proficient Learner",IF(D7&gt;=Settings!$B$5,"Developing Learner","Beginning Learner"))))</f>
        <v/>
      </c>
      <c r="G7" s="16">
        <f>IF(AND(Roster!$B7&lt;&gt;"",COUNT('Post-Test Entry'!$C7:$AQ7)&gt;0),'Post-Test Entry'!$AS7,"")</f>
        <v/>
      </c>
      <c r="H7" s="37">
        <f>IFERROR(G7/Settings!$B$8,"")</f>
        <v/>
      </c>
      <c r="I7" s="31">
        <f>IF(G7="","",IF(G7&gt;=Settings!$B$7,"Distinguished Learner",IF(G7&gt;=Settings!$B$6,"Proficient Learner",IF(G7&gt;=Settings!$B$5,"Developing Learner","Beginning Learner"))))</f>
        <v/>
      </c>
      <c r="J7" s="16">
        <f>IF(OR(D7="",G7=""),"",G7-D7)</f>
        <v/>
      </c>
      <c r="K7" s="37">
        <f>IFERROR(IF(OR(J7="",J7&lt;=0),"",(G7-D7)/(Settings!$B$8-D7)),"")</f>
        <v/>
      </c>
      <c r="L7" s="38">
        <f>IFERROR(IF(J7="","",(G7-D7)/(Settings!$B$17*SQRT(2))),"")</f>
        <v/>
      </c>
      <c r="M7" s="30">
        <f>IF(L7="","",IF(ABS(L7)&gt;=1.96,"Yes","No"))</f>
        <v/>
      </c>
      <c r="N7" s="30">
        <f>IF(J7="","",IF(J7&gt;=Settings!$B$15,"Yes","No"))</f>
        <v/>
      </c>
      <c r="O7" s="37">
        <f>IFERROR(IF($D7="","",SUMIF('Pre-Test Entry'!$C$3:$AQ$3,Settings!$A$28,'Pre-Test Entry'!$C7:$AQ7)/Settings!$C$28),"")</f>
        <v/>
      </c>
      <c r="P7" s="37">
        <f>IFERROR(IF($D7="","",SUMIF('Pre-Test Entry'!$C$3:$AQ$3,Settings!$A$29,'Pre-Test Entry'!$C7:$AQ7)/Settings!$C$29),"")</f>
        <v/>
      </c>
      <c r="Q7" s="37">
        <f>IFERROR(IF($D7="","",SUMIF('Pre-Test Entry'!$C$3:$AQ$3,Settings!$A$30,'Pre-Test Entry'!$C7:$AQ7)/Settings!$C$30),"")</f>
        <v/>
      </c>
      <c r="R7" s="37">
        <f>IFERROR(IF($D7="","",SUMIF('Pre-Test Entry'!$C$3:$AQ$3,Settings!$A$31,'Pre-Test Entry'!$C7:$AQ7)/Settings!$C$31),"")</f>
        <v/>
      </c>
      <c r="S7" s="37">
        <f>IFERROR(IF($D7="","",SUMIF('Pre-Test Entry'!$C$3:$AQ$3,Settings!$A$32,'Pre-Test Entry'!$C7:$AQ7)/Settings!$C$32),"")</f>
        <v/>
      </c>
      <c r="T7" s="37">
        <f>IFERROR(IF($D7="","",SUMIF('Pre-Test Entry'!$C$3:$AQ$3,Settings!$A$33,'Pre-Test Entry'!$C7:$AQ7)/Settings!$C$33),"")</f>
        <v/>
      </c>
      <c r="U7" s="37">
        <f>IFERROR(IF($D7="","",SUMIF('Pre-Test Entry'!$C$3:$AQ$3,Settings!$A$34,'Pre-Test Entry'!$C7:$AQ7)/Settings!$C$34),"")</f>
        <v/>
      </c>
      <c r="V7" s="37">
        <f>IFERROR(IF($G7="","",SUMIF('Post-Test Entry'!$C$3:$AQ$3,Settings!$A$28,'Post-Test Entry'!$C7:$AQ7)/Settings!$C$28),"")</f>
        <v/>
      </c>
      <c r="W7" s="37">
        <f>IFERROR(IF($G7="","",SUMIF('Post-Test Entry'!$C$3:$AQ$3,Settings!$A$29,'Post-Test Entry'!$C7:$AQ7)/Settings!$C$29),"")</f>
        <v/>
      </c>
      <c r="X7" s="37">
        <f>IFERROR(IF($G7="","",SUMIF('Post-Test Entry'!$C$3:$AQ$3,Settings!$A$30,'Post-Test Entry'!$C7:$AQ7)/Settings!$C$30),"")</f>
        <v/>
      </c>
      <c r="Y7" s="37">
        <f>IFERROR(IF($G7="","",SUMIF('Post-Test Entry'!$C$3:$AQ$3,Settings!$A$31,'Post-Test Entry'!$C7:$AQ7)/Settings!$C$31),"")</f>
        <v/>
      </c>
      <c r="Z7" s="37">
        <f>IFERROR(IF($G7="","",SUMIF('Post-Test Entry'!$C$3:$AQ$3,Settings!$A$32,'Post-Test Entry'!$C7:$AQ7)/Settings!$C$32),"")</f>
        <v/>
      </c>
      <c r="AA7" s="37">
        <f>IFERROR(IF($G7="","",SUMIF('Post-Test Entry'!$C$3:$AQ$3,Settings!$A$33,'Post-Test Entry'!$C7:$AQ7)/Settings!$C$33),"")</f>
        <v/>
      </c>
      <c r="AB7" s="37">
        <f>IFERROR(IF($G7="","",SUMIF('Post-Test Entry'!$C$3:$AQ$3,Settings!$A$34,'Post-Test Entry'!$C7:$AQ7)/Settings!$C$34),"")</f>
        <v/>
      </c>
      <c r="AC7" s="37">
        <f>IF(OR(O7="",V7=""),"",V7-O7)</f>
        <v/>
      </c>
      <c r="AD7" s="37">
        <f>IF(OR(P7="",W7=""),"",W7-P7)</f>
        <v/>
      </c>
      <c r="AE7" s="37">
        <f>IF(OR(Q7="",X7=""),"",X7-Q7)</f>
        <v/>
      </c>
      <c r="AF7" s="37">
        <f>IF(OR(R7="",Y7=""),"",Y7-R7)</f>
        <v/>
      </c>
      <c r="AG7" s="37">
        <f>IF(OR(S7="",Z7=""),"",Z7-S7)</f>
        <v/>
      </c>
      <c r="AH7" s="37">
        <f>IF(OR(T7="",AA7=""),"",AA7-T7)</f>
        <v/>
      </c>
      <c r="AI7" s="37">
        <f>IF(OR(U7="",AB7=""),"",AB7-U7)</f>
        <v/>
      </c>
      <c r="AJ7" s="30">
        <f>IFERROR(IF($G7&lt;&gt;"",INDEX($V$4:$AB$4,MATCH(MIN($V7:$AB7),$V7:$AB7,0)),IF($D7&lt;&gt;"",INDEX($O$4:$U$4,MATCH(MIN($O7:$U7),$O7:$U7,0)),"")),"")</f>
        <v/>
      </c>
      <c r="AK7" s="30">
        <f>IFERROR(IF($G7&lt;&gt;"",INDEX($V$4:$AB$4,MATCH(SMALL($V7:$AB7,2),$V7:$AB7,0)),IF($D7&lt;&gt;"",INDEX($O$4:$U$4,MATCH(SMALL($O7:$U7,2),$O7:$U7,0)),"")),"")</f>
        <v/>
      </c>
      <c r="AL7" s="30">
        <f>IF(OR(G7="",Settings!$B$17=""),"",IF(OR(ABS(G7-Settings!$B$5)&lt;=Settings!$B$17,ABS(G7-Settings!$B$6)&lt;=Settings!$B$17,ABS(G7-Settings!$B$7)&lt;=Settings!$B$17),"NEAR CUT",""))</f>
        <v/>
      </c>
      <c r="AM7" s="31">
        <f>IF('Post-Test Entry'!$AR7&lt;&gt;"","Post essay: code "&amp;'Post-Test Entry'!$AR7,IF('Pre-Test Entry'!$AR7&lt;&gt;"","Pre essay: code "&amp;'Pre-Test Entry'!$AR7,""))</f>
        <v/>
      </c>
      <c r="AN7" s="39">
        <f>IFERROR(IF($AJ7="","",INDEX(Settings!$D$28:$D$34,MATCH($AJ7,Settings!$A$28:$A$34,0))),"")</f>
        <v/>
      </c>
      <c r="AP7">
        <f>IF(D7="","",D7^2)</f>
        <v/>
      </c>
      <c r="AQ7">
        <f>IF(G7="","",G7^2)</f>
        <v/>
      </c>
    </row>
    <row r="8">
      <c r="A8" s="30">
        <f>IF(Roster!$A8="","",Roster!$A8)</f>
        <v/>
      </c>
      <c r="B8" s="31">
        <f>IF(Roster!$B8&lt;&gt;"",Roster!$C8&amp;" "&amp;Roster!$B8,"")</f>
        <v/>
      </c>
      <c r="C8" s="30">
        <f>IF(Roster!$B8&lt;&gt;"",Roster!$D8,"")</f>
        <v/>
      </c>
      <c r="D8" s="16">
        <f>IF(AND(Roster!$B8&lt;&gt;"",COUNT('Pre-Test Entry'!$C8:$AQ8)&gt;0),'Pre-Test Entry'!$AS8,"")</f>
        <v/>
      </c>
      <c r="E8" s="37">
        <f>IFERROR(D8/Settings!$B$8,"")</f>
        <v/>
      </c>
      <c r="F8" s="31">
        <f>IF(D8="","",IF(D8&gt;=Settings!$B$7,"Distinguished Learner",IF(D8&gt;=Settings!$B$6,"Proficient Learner",IF(D8&gt;=Settings!$B$5,"Developing Learner","Beginning Learner"))))</f>
        <v/>
      </c>
      <c r="G8" s="16">
        <f>IF(AND(Roster!$B8&lt;&gt;"",COUNT('Post-Test Entry'!$C8:$AQ8)&gt;0),'Post-Test Entry'!$AS8,"")</f>
        <v/>
      </c>
      <c r="H8" s="37">
        <f>IFERROR(G8/Settings!$B$8,"")</f>
        <v/>
      </c>
      <c r="I8" s="31">
        <f>IF(G8="","",IF(G8&gt;=Settings!$B$7,"Distinguished Learner",IF(G8&gt;=Settings!$B$6,"Proficient Learner",IF(G8&gt;=Settings!$B$5,"Developing Learner","Beginning Learner"))))</f>
        <v/>
      </c>
      <c r="J8" s="16">
        <f>IF(OR(D8="",G8=""),"",G8-D8)</f>
        <v/>
      </c>
      <c r="K8" s="37">
        <f>IFERROR(IF(OR(J8="",J8&lt;=0),"",(G8-D8)/(Settings!$B$8-D8)),"")</f>
        <v/>
      </c>
      <c r="L8" s="38">
        <f>IFERROR(IF(J8="","",(G8-D8)/(Settings!$B$17*SQRT(2))),"")</f>
        <v/>
      </c>
      <c r="M8" s="30">
        <f>IF(L8="","",IF(ABS(L8)&gt;=1.96,"Yes","No"))</f>
        <v/>
      </c>
      <c r="N8" s="30">
        <f>IF(J8="","",IF(J8&gt;=Settings!$B$15,"Yes","No"))</f>
        <v/>
      </c>
      <c r="O8" s="37">
        <f>IFERROR(IF($D8="","",SUMIF('Pre-Test Entry'!$C$3:$AQ$3,Settings!$A$28,'Pre-Test Entry'!$C8:$AQ8)/Settings!$C$28),"")</f>
        <v/>
      </c>
      <c r="P8" s="37">
        <f>IFERROR(IF($D8="","",SUMIF('Pre-Test Entry'!$C$3:$AQ$3,Settings!$A$29,'Pre-Test Entry'!$C8:$AQ8)/Settings!$C$29),"")</f>
        <v/>
      </c>
      <c r="Q8" s="37">
        <f>IFERROR(IF($D8="","",SUMIF('Pre-Test Entry'!$C$3:$AQ$3,Settings!$A$30,'Pre-Test Entry'!$C8:$AQ8)/Settings!$C$30),"")</f>
        <v/>
      </c>
      <c r="R8" s="37">
        <f>IFERROR(IF($D8="","",SUMIF('Pre-Test Entry'!$C$3:$AQ$3,Settings!$A$31,'Pre-Test Entry'!$C8:$AQ8)/Settings!$C$31),"")</f>
        <v/>
      </c>
      <c r="S8" s="37">
        <f>IFERROR(IF($D8="","",SUMIF('Pre-Test Entry'!$C$3:$AQ$3,Settings!$A$32,'Pre-Test Entry'!$C8:$AQ8)/Settings!$C$32),"")</f>
        <v/>
      </c>
      <c r="T8" s="37">
        <f>IFERROR(IF($D8="","",SUMIF('Pre-Test Entry'!$C$3:$AQ$3,Settings!$A$33,'Pre-Test Entry'!$C8:$AQ8)/Settings!$C$33),"")</f>
        <v/>
      </c>
      <c r="U8" s="37">
        <f>IFERROR(IF($D8="","",SUMIF('Pre-Test Entry'!$C$3:$AQ$3,Settings!$A$34,'Pre-Test Entry'!$C8:$AQ8)/Settings!$C$34),"")</f>
        <v/>
      </c>
      <c r="V8" s="37">
        <f>IFERROR(IF($G8="","",SUMIF('Post-Test Entry'!$C$3:$AQ$3,Settings!$A$28,'Post-Test Entry'!$C8:$AQ8)/Settings!$C$28),"")</f>
        <v/>
      </c>
      <c r="W8" s="37">
        <f>IFERROR(IF($G8="","",SUMIF('Post-Test Entry'!$C$3:$AQ$3,Settings!$A$29,'Post-Test Entry'!$C8:$AQ8)/Settings!$C$29),"")</f>
        <v/>
      </c>
      <c r="X8" s="37">
        <f>IFERROR(IF($G8="","",SUMIF('Post-Test Entry'!$C$3:$AQ$3,Settings!$A$30,'Post-Test Entry'!$C8:$AQ8)/Settings!$C$30),"")</f>
        <v/>
      </c>
      <c r="Y8" s="37">
        <f>IFERROR(IF($G8="","",SUMIF('Post-Test Entry'!$C$3:$AQ$3,Settings!$A$31,'Post-Test Entry'!$C8:$AQ8)/Settings!$C$31),"")</f>
        <v/>
      </c>
      <c r="Z8" s="37">
        <f>IFERROR(IF($G8="","",SUMIF('Post-Test Entry'!$C$3:$AQ$3,Settings!$A$32,'Post-Test Entry'!$C8:$AQ8)/Settings!$C$32),"")</f>
        <v/>
      </c>
      <c r="AA8" s="37">
        <f>IFERROR(IF($G8="","",SUMIF('Post-Test Entry'!$C$3:$AQ$3,Settings!$A$33,'Post-Test Entry'!$C8:$AQ8)/Settings!$C$33),"")</f>
        <v/>
      </c>
      <c r="AB8" s="37">
        <f>IFERROR(IF($G8="","",SUMIF('Post-Test Entry'!$C$3:$AQ$3,Settings!$A$34,'Post-Test Entry'!$C8:$AQ8)/Settings!$C$34),"")</f>
        <v/>
      </c>
      <c r="AC8" s="37">
        <f>IF(OR(O8="",V8=""),"",V8-O8)</f>
        <v/>
      </c>
      <c r="AD8" s="37">
        <f>IF(OR(P8="",W8=""),"",W8-P8)</f>
        <v/>
      </c>
      <c r="AE8" s="37">
        <f>IF(OR(Q8="",X8=""),"",X8-Q8)</f>
        <v/>
      </c>
      <c r="AF8" s="37">
        <f>IF(OR(R8="",Y8=""),"",Y8-R8)</f>
        <v/>
      </c>
      <c r="AG8" s="37">
        <f>IF(OR(S8="",Z8=""),"",Z8-S8)</f>
        <v/>
      </c>
      <c r="AH8" s="37">
        <f>IF(OR(T8="",AA8=""),"",AA8-T8)</f>
        <v/>
      </c>
      <c r="AI8" s="37">
        <f>IF(OR(U8="",AB8=""),"",AB8-U8)</f>
        <v/>
      </c>
      <c r="AJ8" s="30">
        <f>IFERROR(IF($G8&lt;&gt;"",INDEX($V$4:$AB$4,MATCH(MIN($V8:$AB8),$V8:$AB8,0)),IF($D8&lt;&gt;"",INDEX($O$4:$U$4,MATCH(MIN($O8:$U8),$O8:$U8,0)),"")),"")</f>
        <v/>
      </c>
      <c r="AK8" s="30">
        <f>IFERROR(IF($G8&lt;&gt;"",INDEX($V$4:$AB$4,MATCH(SMALL($V8:$AB8,2),$V8:$AB8,0)),IF($D8&lt;&gt;"",INDEX($O$4:$U$4,MATCH(SMALL($O8:$U8,2),$O8:$U8,0)),"")),"")</f>
        <v/>
      </c>
      <c r="AL8" s="30">
        <f>IF(OR(G8="",Settings!$B$17=""),"",IF(OR(ABS(G8-Settings!$B$5)&lt;=Settings!$B$17,ABS(G8-Settings!$B$6)&lt;=Settings!$B$17,ABS(G8-Settings!$B$7)&lt;=Settings!$B$17),"NEAR CUT",""))</f>
        <v/>
      </c>
      <c r="AM8" s="31">
        <f>IF('Post-Test Entry'!$AR8&lt;&gt;"","Post essay: code "&amp;'Post-Test Entry'!$AR8,IF('Pre-Test Entry'!$AR8&lt;&gt;"","Pre essay: code "&amp;'Pre-Test Entry'!$AR8,""))</f>
        <v/>
      </c>
      <c r="AN8" s="39">
        <f>IFERROR(IF($AJ8="","",INDEX(Settings!$D$28:$D$34,MATCH($AJ8,Settings!$A$28:$A$34,0))),"")</f>
        <v/>
      </c>
      <c r="AP8">
        <f>IF(D8="","",D8^2)</f>
        <v/>
      </c>
      <c r="AQ8">
        <f>IF(G8="","",G8^2)</f>
        <v/>
      </c>
    </row>
    <row r="9">
      <c r="A9" s="30">
        <f>IF(Roster!$A9="","",Roster!$A9)</f>
        <v/>
      </c>
      <c r="B9" s="31">
        <f>IF(Roster!$B9&lt;&gt;"",Roster!$C9&amp;" "&amp;Roster!$B9,"")</f>
        <v/>
      </c>
      <c r="C9" s="30">
        <f>IF(Roster!$B9&lt;&gt;"",Roster!$D9,"")</f>
        <v/>
      </c>
      <c r="D9" s="16">
        <f>IF(AND(Roster!$B9&lt;&gt;"",COUNT('Pre-Test Entry'!$C9:$AQ9)&gt;0),'Pre-Test Entry'!$AS9,"")</f>
        <v/>
      </c>
      <c r="E9" s="37">
        <f>IFERROR(D9/Settings!$B$8,"")</f>
        <v/>
      </c>
      <c r="F9" s="31">
        <f>IF(D9="","",IF(D9&gt;=Settings!$B$7,"Distinguished Learner",IF(D9&gt;=Settings!$B$6,"Proficient Learner",IF(D9&gt;=Settings!$B$5,"Developing Learner","Beginning Learner"))))</f>
        <v/>
      </c>
      <c r="G9" s="16">
        <f>IF(AND(Roster!$B9&lt;&gt;"",COUNT('Post-Test Entry'!$C9:$AQ9)&gt;0),'Post-Test Entry'!$AS9,"")</f>
        <v/>
      </c>
      <c r="H9" s="37">
        <f>IFERROR(G9/Settings!$B$8,"")</f>
        <v/>
      </c>
      <c r="I9" s="31">
        <f>IF(G9="","",IF(G9&gt;=Settings!$B$7,"Distinguished Learner",IF(G9&gt;=Settings!$B$6,"Proficient Learner",IF(G9&gt;=Settings!$B$5,"Developing Learner","Beginning Learner"))))</f>
        <v/>
      </c>
      <c r="J9" s="16">
        <f>IF(OR(D9="",G9=""),"",G9-D9)</f>
        <v/>
      </c>
      <c r="K9" s="37">
        <f>IFERROR(IF(OR(J9="",J9&lt;=0),"",(G9-D9)/(Settings!$B$8-D9)),"")</f>
        <v/>
      </c>
      <c r="L9" s="38">
        <f>IFERROR(IF(J9="","",(G9-D9)/(Settings!$B$17*SQRT(2))),"")</f>
        <v/>
      </c>
      <c r="M9" s="30">
        <f>IF(L9="","",IF(ABS(L9)&gt;=1.96,"Yes","No"))</f>
        <v/>
      </c>
      <c r="N9" s="30">
        <f>IF(J9="","",IF(J9&gt;=Settings!$B$15,"Yes","No"))</f>
        <v/>
      </c>
      <c r="O9" s="37">
        <f>IFERROR(IF($D9="","",SUMIF('Pre-Test Entry'!$C$3:$AQ$3,Settings!$A$28,'Pre-Test Entry'!$C9:$AQ9)/Settings!$C$28),"")</f>
        <v/>
      </c>
      <c r="P9" s="37">
        <f>IFERROR(IF($D9="","",SUMIF('Pre-Test Entry'!$C$3:$AQ$3,Settings!$A$29,'Pre-Test Entry'!$C9:$AQ9)/Settings!$C$29),"")</f>
        <v/>
      </c>
      <c r="Q9" s="37">
        <f>IFERROR(IF($D9="","",SUMIF('Pre-Test Entry'!$C$3:$AQ$3,Settings!$A$30,'Pre-Test Entry'!$C9:$AQ9)/Settings!$C$30),"")</f>
        <v/>
      </c>
      <c r="R9" s="37">
        <f>IFERROR(IF($D9="","",SUMIF('Pre-Test Entry'!$C$3:$AQ$3,Settings!$A$31,'Pre-Test Entry'!$C9:$AQ9)/Settings!$C$31),"")</f>
        <v/>
      </c>
      <c r="S9" s="37">
        <f>IFERROR(IF($D9="","",SUMIF('Pre-Test Entry'!$C$3:$AQ$3,Settings!$A$32,'Pre-Test Entry'!$C9:$AQ9)/Settings!$C$32),"")</f>
        <v/>
      </c>
      <c r="T9" s="37">
        <f>IFERROR(IF($D9="","",SUMIF('Pre-Test Entry'!$C$3:$AQ$3,Settings!$A$33,'Pre-Test Entry'!$C9:$AQ9)/Settings!$C$33),"")</f>
        <v/>
      </c>
      <c r="U9" s="37">
        <f>IFERROR(IF($D9="","",SUMIF('Pre-Test Entry'!$C$3:$AQ$3,Settings!$A$34,'Pre-Test Entry'!$C9:$AQ9)/Settings!$C$34),"")</f>
        <v/>
      </c>
      <c r="V9" s="37">
        <f>IFERROR(IF($G9="","",SUMIF('Post-Test Entry'!$C$3:$AQ$3,Settings!$A$28,'Post-Test Entry'!$C9:$AQ9)/Settings!$C$28),"")</f>
        <v/>
      </c>
      <c r="W9" s="37">
        <f>IFERROR(IF($G9="","",SUMIF('Post-Test Entry'!$C$3:$AQ$3,Settings!$A$29,'Post-Test Entry'!$C9:$AQ9)/Settings!$C$29),"")</f>
        <v/>
      </c>
      <c r="X9" s="37">
        <f>IFERROR(IF($G9="","",SUMIF('Post-Test Entry'!$C$3:$AQ$3,Settings!$A$30,'Post-Test Entry'!$C9:$AQ9)/Settings!$C$30),"")</f>
        <v/>
      </c>
      <c r="Y9" s="37">
        <f>IFERROR(IF($G9="","",SUMIF('Post-Test Entry'!$C$3:$AQ$3,Settings!$A$31,'Post-Test Entry'!$C9:$AQ9)/Settings!$C$31),"")</f>
        <v/>
      </c>
      <c r="Z9" s="37">
        <f>IFERROR(IF($G9="","",SUMIF('Post-Test Entry'!$C$3:$AQ$3,Settings!$A$32,'Post-Test Entry'!$C9:$AQ9)/Settings!$C$32),"")</f>
        <v/>
      </c>
      <c r="AA9" s="37">
        <f>IFERROR(IF($G9="","",SUMIF('Post-Test Entry'!$C$3:$AQ$3,Settings!$A$33,'Post-Test Entry'!$C9:$AQ9)/Settings!$C$33),"")</f>
        <v/>
      </c>
      <c r="AB9" s="37">
        <f>IFERROR(IF($G9="","",SUMIF('Post-Test Entry'!$C$3:$AQ$3,Settings!$A$34,'Post-Test Entry'!$C9:$AQ9)/Settings!$C$34),"")</f>
        <v/>
      </c>
      <c r="AC9" s="37">
        <f>IF(OR(O9="",V9=""),"",V9-O9)</f>
        <v/>
      </c>
      <c r="AD9" s="37">
        <f>IF(OR(P9="",W9=""),"",W9-P9)</f>
        <v/>
      </c>
      <c r="AE9" s="37">
        <f>IF(OR(Q9="",X9=""),"",X9-Q9)</f>
        <v/>
      </c>
      <c r="AF9" s="37">
        <f>IF(OR(R9="",Y9=""),"",Y9-R9)</f>
        <v/>
      </c>
      <c r="AG9" s="37">
        <f>IF(OR(S9="",Z9=""),"",Z9-S9)</f>
        <v/>
      </c>
      <c r="AH9" s="37">
        <f>IF(OR(T9="",AA9=""),"",AA9-T9)</f>
        <v/>
      </c>
      <c r="AI9" s="37">
        <f>IF(OR(U9="",AB9=""),"",AB9-U9)</f>
        <v/>
      </c>
      <c r="AJ9" s="30">
        <f>IFERROR(IF($G9&lt;&gt;"",INDEX($V$4:$AB$4,MATCH(MIN($V9:$AB9),$V9:$AB9,0)),IF($D9&lt;&gt;"",INDEX($O$4:$U$4,MATCH(MIN($O9:$U9),$O9:$U9,0)),"")),"")</f>
        <v/>
      </c>
      <c r="AK9" s="30">
        <f>IFERROR(IF($G9&lt;&gt;"",INDEX($V$4:$AB$4,MATCH(SMALL($V9:$AB9,2),$V9:$AB9,0)),IF($D9&lt;&gt;"",INDEX($O$4:$U$4,MATCH(SMALL($O9:$U9,2),$O9:$U9,0)),"")),"")</f>
        <v/>
      </c>
      <c r="AL9" s="30">
        <f>IF(OR(G9="",Settings!$B$17=""),"",IF(OR(ABS(G9-Settings!$B$5)&lt;=Settings!$B$17,ABS(G9-Settings!$B$6)&lt;=Settings!$B$17,ABS(G9-Settings!$B$7)&lt;=Settings!$B$17),"NEAR CUT",""))</f>
        <v/>
      </c>
      <c r="AM9" s="31">
        <f>IF('Post-Test Entry'!$AR9&lt;&gt;"","Post essay: code "&amp;'Post-Test Entry'!$AR9,IF('Pre-Test Entry'!$AR9&lt;&gt;"","Pre essay: code "&amp;'Pre-Test Entry'!$AR9,""))</f>
        <v/>
      </c>
      <c r="AN9" s="39">
        <f>IFERROR(IF($AJ9="","",INDEX(Settings!$D$28:$D$34,MATCH($AJ9,Settings!$A$28:$A$34,0))),"")</f>
        <v/>
      </c>
      <c r="AP9">
        <f>IF(D9="","",D9^2)</f>
        <v/>
      </c>
      <c r="AQ9">
        <f>IF(G9="","",G9^2)</f>
        <v/>
      </c>
    </row>
    <row r="10">
      <c r="A10" s="30">
        <f>IF(Roster!$A10="","",Roster!$A10)</f>
        <v/>
      </c>
      <c r="B10" s="31">
        <f>IF(Roster!$B10&lt;&gt;"",Roster!$C10&amp;" "&amp;Roster!$B10,"")</f>
        <v/>
      </c>
      <c r="C10" s="30">
        <f>IF(Roster!$B10&lt;&gt;"",Roster!$D10,"")</f>
        <v/>
      </c>
      <c r="D10" s="16">
        <f>IF(AND(Roster!$B10&lt;&gt;"",COUNT('Pre-Test Entry'!$C10:$AQ10)&gt;0),'Pre-Test Entry'!$AS10,"")</f>
        <v/>
      </c>
      <c r="E10" s="37">
        <f>IFERROR(D10/Settings!$B$8,"")</f>
        <v/>
      </c>
      <c r="F10" s="31">
        <f>IF(D10="","",IF(D10&gt;=Settings!$B$7,"Distinguished Learner",IF(D10&gt;=Settings!$B$6,"Proficient Learner",IF(D10&gt;=Settings!$B$5,"Developing Learner","Beginning Learner"))))</f>
        <v/>
      </c>
      <c r="G10" s="16">
        <f>IF(AND(Roster!$B10&lt;&gt;"",COUNT('Post-Test Entry'!$C10:$AQ10)&gt;0),'Post-Test Entry'!$AS10,"")</f>
        <v/>
      </c>
      <c r="H10" s="37">
        <f>IFERROR(G10/Settings!$B$8,"")</f>
        <v/>
      </c>
      <c r="I10" s="31">
        <f>IF(G10="","",IF(G10&gt;=Settings!$B$7,"Distinguished Learner",IF(G10&gt;=Settings!$B$6,"Proficient Learner",IF(G10&gt;=Settings!$B$5,"Developing Learner","Beginning Learner"))))</f>
        <v/>
      </c>
      <c r="J10" s="16">
        <f>IF(OR(D10="",G10=""),"",G10-D10)</f>
        <v/>
      </c>
      <c r="K10" s="37">
        <f>IFERROR(IF(OR(J10="",J10&lt;=0),"",(G10-D10)/(Settings!$B$8-D10)),"")</f>
        <v/>
      </c>
      <c r="L10" s="38">
        <f>IFERROR(IF(J10="","",(G10-D10)/(Settings!$B$17*SQRT(2))),"")</f>
        <v/>
      </c>
      <c r="M10" s="30">
        <f>IF(L10="","",IF(ABS(L10)&gt;=1.96,"Yes","No"))</f>
        <v/>
      </c>
      <c r="N10" s="30">
        <f>IF(J10="","",IF(J10&gt;=Settings!$B$15,"Yes","No"))</f>
        <v/>
      </c>
      <c r="O10" s="37">
        <f>IFERROR(IF($D10="","",SUMIF('Pre-Test Entry'!$C$3:$AQ$3,Settings!$A$28,'Pre-Test Entry'!$C10:$AQ10)/Settings!$C$28),"")</f>
        <v/>
      </c>
      <c r="P10" s="37">
        <f>IFERROR(IF($D10="","",SUMIF('Pre-Test Entry'!$C$3:$AQ$3,Settings!$A$29,'Pre-Test Entry'!$C10:$AQ10)/Settings!$C$29),"")</f>
        <v/>
      </c>
      <c r="Q10" s="37">
        <f>IFERROR(IF($D10="","",SUMIF('Pre-Test Entry'!$C$3:$AQ$3,Settings!$A$30,'Pre-Test Entry'!$C10:$AQ10)/Settings!$C$30),"")</f>
        <v/>
      </c>
      <c r="R10" s="37">
        <f>IFERROR(IF($D10="","",SUMIF('Pre-Test Entry'!$C$3:$AQ$3,Settings!$A$31,'Pre-Test Entry'!$C10:$AQ10)/Settings!$C$31),"")</f>
        <v/>
      </c>
      <c r="S10" s="37">
        <f>IFERROR(IF($D10="","",SUMIF('Pre-Test Entry'!$C$3:$AQ$3,Settings!$A$32,'Pre-Test Entry'!$C10:$AQ10)/Settings!$C$32),"")</f>
        <v/>
      </c>
      <c r="T10" s="37">
        <f>IFERROR(IF($D10="","",SUMIF('Pre-Test Entry'!$C$3:$AQ$3,Settings!$A$33,'Pre-Test Entry'!$C10:$AQ10)/Settings!$C$33),"")</f>
        <v/>
      </c>
      <c r="U10" s="37">
        <f>IFERROR(IF($D10="","",SUMIF('Pre-Test Entry'!$C$3:$AQ$3,Settings!$A$34,'Pre-Test Entry'!$C10:$AQ10)/Settings!$C$34),"")</f>
        <v/>
      </c>
      <c r="V10" s="37">
        <f>IFERROR(IF($G10="","",SUMIF('Post-Test Entry'!$C$3:$AQ$3,Settings!$A$28,'Post-Test Entry'!$C10:$AQ10)/Settings!$C$28),"")</f>
        <v/>
      </c>
      <c r="W10" s="37">
        <f>IFERROR(IF($G10="","",SUMIF('Post-Test Entry'!$C$3:$AQ$3,Settings!$A$29,'Post-Test Entry'!$C10:$AQ10)/Settings!$C$29),"")</f>
        <v/>
      </c>
      <c r="X10" s="37">
        <f>IFERROR(IF($G10="","",SUMIF('Post-Test Entry'!$C$3:$AQ$3,Settings!$A$30,'Post-Test Entry'!$C10:$AQ10)/Settings!$C$30),"")</f>
        <v/>
      </c>
      <c r="Y10" s="37">
        <f>IFERROR(IF($G10="","",SUMIF('Post-Test Entry'!$C$3:$AQ$3,Settings!$A$31,'Post-Test Entry'!$C10:$AQ10)/Settings!$C$31),"")</f>
        <v/>
      </c>
      <c r="Z10" s="37">
        <f>IFERROR(IF($G10="","",SUMIF('Post-Test Entry'!$C$3:$AQ$3,Settings!$A$32,'Post-Test Entry'!$C10:$AQ10)/Settings!$C$32),"")</f>
        <v/>
      </c>
      <c r="AA10" s="37">
        <f>IFERROR(IF($G10="","",SUMIF('Post-Test Entry'!$C$3:$AQ$3,Settings!$A$33,'Post-Test Entry'!$C10:$AQ10)/Settings!$C$33),"")</f>
        <v/>
      </c>
      <c r="AB10" s="37">
        <f>IFERROR(IF($G10="","",SUMIF('Post-Test Entry'!$C$3:$AQ$3,Settings!$A$34,'Post-Test Entry'!$C10:$AQ10)/Settings!$C$34),"")</f>
        <v/>
      </c>
      <c r="AC10" s="37">
        <f>IF(OR(O10="",V10=""),"",V10-O10)</f>
        <v/>
      </c>
      <c r="AD10" s="37">
        <f>IF(OR(P10="",W10=""),"",W10-P10)</f>
        <v/>
      </c>
      <c r="AE10" s="37">
        <f>IF(OR(Q10="",X10=""),"",X10-Q10)</f>
        <v/>
      </c>
      <c r="AF10" s="37">
        <f>IF(OR(R10="",Y10=""),"",Y10-R10)</f>
        <v/>
      </c>
      <c r="AG10" s="37">
        <f>IF(OR(S10="",Z10=""),"",Z10-S10)</f>
        <v/>
      </c>
      <c r="AH10" s="37">
        <f>IF(OR(T10="",AA10=""),"",AA10-T10)</f>
        <v/>
      </c>
      <c r="AI10" s="37">
        <f>IF(OR(U10="",AB10=""),"",AB10-U10)</f>
        <v/>
      </c>
      <c r="AJ10" s="30">
        <f>IFERROR(IF($G10&lt;&gt;"",INDEX($V$4:$AB$4,MATCH(MIN($V10:$AB10),$V10:$AB10,0)),IF($D10&lt;&gt;"",INDEX($O$4:$U$4,MATCH(MIN($O10:$U10),$O10:$U10,0)),"")),"")</f>
        <v/>
      </c>
      <c r="AK10" s="30">
        <f>IFERROR(IF($G10&lt;&gt;"",INDEX($V$4:$AB$4,MATCH(SMALL($V10:$AB10,2),$V10:$AB10,0)),IF($D10&lt;&gt;"",INDEX($O$4:$U$4,MATCH(SMALL($O10:$U10,2),$O10:$U10,0)),"")),"")</f>
        <v/>
      </c>
      <c r="AL10" s="30">
        <f>IF(OR(G10="",Settings!$B$17=""),"",IF(OR(ABS(G10-Settings!$B$5)&lt;=Settings!$B$17,ABS(G10-Settings!$B$6)&lt;=Settings!$B$17,ABS(G10-Settings!$B$7)&lt;=Settings!$B$17),"NEAR CUT",""))</f>
        <v/>
      </c>
      <c r="AM10" s="31">
        <f>IF('Post-Test Entry'!$AR10&lt;&gt;"","Post essay: code "&amp;'Post-Test Entry'!$AR10,IF('Pre-Test Entry'!$AR10&lt;&gt;"","Pre essay: code "&amp;'Pre-Test Entry'!$AR10,""))</f>
        <v/>
      </c>
      <c r="AN10" s="39">
        <f>IFERROR(IF($AJ10="","",INDEX(Settings!$D$28:$D$34,MATCH($AJ10,Settings!$A$28:$A$34,0))),"")</f>
        <v/>
      </c>
      <c r="AP10">
        <f>IF(D10="","",D10^2)</f>
        <v/>
      </c>
      <c r="AQ10">
        <f>IF(G10="","",G10^2)</f>
        <v/>
      </c>
    </row>
    <row r="11">
      <c r="A11" s="30">
        <f>IF(Roster!$A11="","",Roster!$A11)</f>
        <v/>
      </c>
      <c r="B11" s="31">
        <f>IF(Roster!$B11&lt;&gt;"",Roster!$C11&amp;" "&amp;Roster!$B11,"")</f>
        <v/>
      </c>
      <c r="C11" s="30">
        <f>IF(Roster!$B11&lt;&gt;"",Roster!$D11,"")</f>
        <v/>
      </c>
      <c r="D11" s="16">
        <f>IF(AND(Roster!$B11&lt;&gt;"",COUNT('Pre-Test Entry'!$C11:$AQ11)&gt;0),'Pre-Test Entry'!$AS11,"")</f>
        <v/>
      </c>
      <c r="E11" s="37">
        <f>IFERROR(D11/Settings!$B$8,"")</f>
        <v/>
      </c>
      <c r="F11" s="31">
        <f>IF(D11="","",IF(D11&gt;=Settings!$B$7,"Distinguished Learner",IF(D11&gt;=Settings!$B$6,"Proficient Learner",IF(D11&gt;=Settings!$B$5,"Developing Learner","Beginning Learner"))))</f>
        <v/>
      </c>
      <c r="G11" s="16">
        <f>IF(AND(Roster!$B11&lt;&gt;"",COUNT('Post-Test Entry'!$C11:$AQ11)&gt;0),'Post-Test Entry'!$AS11,"")</f>
        <v/>
      </c>
      <c r="H11" s="37">
        <f>IFERROR(G11/Settings!$B$8,"")</f>
        <v/>
      </c>
      <c r="I11" s="31">
        <f>IF(G11="","",IF(G11&gt;=Settings!$B$7,"Distinguished Learner",IF(G11&gt;=Settings!$B$6,"Proficient Learner",IF(G11&gt;=Settings!$B$5,"Developing Learner","Beginning Learner"))))</f>
        <v/>
      </c>
      <c r="J11" s="16">
        <f>IF(OR(D11="",G11=""),"",G11-D11)</f>
        <v/>
      </c>
      <c r="K11" s="37">
        <f>IFERROR(IF(OR(J11="",J11&lt;=0),"",(G11-D11)/(Settings!$B$8-D11)),"")</f>
        <v/>
      </c>
      <c r="L11" s="38">
        <f>IFERROR(IF(J11="","",(G11-D11)/(Settings!$B$17*SQRT(2))),"")</f>
        <v/>
      </c>
      <c r="M11" s="30">
        <f>IF(L11="","",IF(ABS(L11)&gt;=1.96,"Yes","No"))</f>
        <v/>
      </c>
      <c r="N11" s="30">
        <f>IF(J11="","",IF(J11&gt;=Settings!$B$15,"Yes","No"))</f>
        <v/>
      </c>
      <c r="O11" s="37">
        <f>IFERROR(IF($D11="","",SUMIF('Pre-Test Entry'!$C$3:$AQ$3,Settings!$A$28,'Pre-Test Entry'!$C11:$AQ11)/Settings!$C$28),"")</f>
        <v/>
      </c>
      <c r="P11" s="37">
        <f>IFERROR(IF($D11="","",SUMIF('Pre-Test Entry'!$C$3:$AQ$3,Settings!$A$29,'Pre-Test Entry'!$C11:$AQ11)/Settings!$C$29),"")</f>
        <v/>
      </c>
      <c r="Q11" s="37">
        <f>IFERROR(IF($D11="","",SUMIF('Pre-Test Entry'!$C$3:$AQ$3,Settings!$A$30,'Pre-Test Entry'!$C11:$AQ11)/Settings!$C$30),"")</f>
        <v/>
      </c>
      <c r="R11" s="37">
        <f>IFERROR(IF($D11="","",SUMIF('Pre-Test Entry'!$C$3:$AQ$3,Settings!$A$31,'Pre-Test Entry'!$C11:$AQ11)/Settings!$C$31),"")</f>
        <v/>
      </c>
      <c r="S11" s="37">
        <f>IFERROR(IF($D11="","",SUMIF('Pre-Test Entry'!$C$3:$AQ$3,Settings!$A$32,'Pre-Test Entry'!$C11:$AQ11)/Settings!$C$32),"")</f>
        <v/>
      </c>
      <c r="T11" s="37">
        <f>IFERROR(IF($D11="","",SUMIF('Pre-Test Entry'!$C$3:$AQ$3,Settings!$A$33,'Pre-Test Entry'!$C11:$AQ11)/Settings!$C$33),"")</f>
        <v/>
      </c>
      <c r="U11" s="37">
        <f>IFERROR(IF($D11="","",SUMIF('Pre-Test Entry'!$C$3:$AQ$3,Settings!$A$34,'Pre-Test Entry'!$C11:$AQ11)/Settings!$C$34),"")</f>
        <v/>
      </c>
      <c r="V11" s="37">
        <f>IFERROR(IF($G11="","",SUMIF('Post-Test Entry'!$C$3:$AQ$3,Settings!$A$28,'Post-Test Entry'!$C11:$AQ11)/Settings!$C$28),"")</f>
        <v/>
      </c>
      <c r="W11" s="37">
        <f>IFERROR(IF($G11="","",SUMIF('Post-Test Entry'!$C$3:$AQ$3,Settings!$A$29,'Post-Test Entry'!$C11:$AQ11)/Settings!$C$29),"")</f>
        <v/>
      </c>
      <c r="X11" s="37">
        <f>IFERROR(IF($G11="","",SUMIF('Post-Test Entry'!$C$3:$AQ$3,Settings!$A$30,'Post-Test Entry'!$C11:$AQ11)/Settings!$C$30),"")</f>
        <v/>
      </c>
      <c r="Y11" s="37">
        <f>IFERROR(IF($G11="","",SUMIF('Post-Test Entry'!$C$3:$AQ$3,Settings!$A$31,'Post-Test Entry'!$C11:$AQ11)/Settings!$C$31),"")</f>
        <v/>
      </c>
      <c r="Z11" s="37">
        <f>IFERROR(IF($G11="","",SUMIF('Post-Test Entry'!$C$3:$AQ$3,Settings!$A$32,'Post-Test Entry'!$C11:$AQ11)/Settings!$C$32),"")</f>
        <v/>
      </c>
      <c r="AA11" s="37">
        <f>IFERROR(IF($G11="","",SUMIF('Post-Test Entry'!$C$3:$AQ$3,Settings!$A$33,'Post-Test Entry'!$C11:$AQ11)/Settings!$C$33),"")</f>
        <v/>
      </c>
      <c r="AB11" s="37">
        <f>IFERROR(IF($G11="","",SUMIF('Post-Test Entry'!$C$3:$AQ$3,Settings!$A$34,'Post-Test Entry'!$C11:$AQ11)/Settings!$C$34),"")</f>
        <v/>
      </c>
      <c r="AC11" s="37">
        <f>IF(OR(O11="",V11=""),"",V11-O11)</f>
        <v/>
      </c>
      <c r="AD11" s="37">
        <f>IF(OR(P11="",W11=""),"",W11-P11)</f>
        <v/>
      </c>
      <c r="AE11" s="37">
        <f>IF(OR(Q11="",X11=""),"",X11-Q11)</f>
        <v/>
      </c>
      <c r="AF11" s="37">
        <f>IF(OR(R11="",Y11=""),"",Y11-R11)</f>
        <v/>
      </c>
      <c r="AG11" s="37">
        <f>IF(OR(S11="",Z11=""),"",Z11-S11)</f>
        <v/>
      </c>
      <c r="AH11" s="37">
        <f>IF(OR(T11="",AA11=""),"",AA11-T11)</f>
        <v/>
      </c>
      <c r="AI11" s="37">
        <f>IF(OR(U11="",AB11=""),"",AB11-U11)</f>
        <v/>
      </c>
      <c r="AJ11" s="30">
        <f>IFERROR(IF($G11&lt;&gt;"",INDEX($V$4:$AB$4,MATCH(MIN($V11:$AB11),$V11:$AB11,0)),IF($D11&lt;&gt;"",INDEX($O$4:$U$4,MATCH(MIN($O11:$U11),$O11:$U11,0)),"")),"")</f>
        <v/>
      </c>
      <c r="AK11" s="30">
        <f>IFERROR(IF($G11&lt;&gt;"",INDEX($V$4:$AB$4,MATCH(SMALL($V11:$AB11,2),$V11:$AB11,0)),IF($D11&lt;&gt;"",INDEX($O$4:$U$4,MATCH(SMALL($O11:$U11,2),$O11:$U11,0)),"")),"")</f>
        <v/>
      </c>
      <c r="AL11" s="30">
        <f>IF(OR(G11="",Settings!$B$17=""),"",IF(OR(ABS(G11-Settings!$B$5)&lt;=Settings!$B$17,ABS(G11-Settings!$B$6)&lt;=Settings!$B$17,ABS(G11-Settings!$B$7)&lt;=Settings!$B$17),"NEAR CUT",""))</f>
        <v/>
      </c>
      <c r="AM11" s="31">
        <f>IF('Post-Test Entry'!$AR11&lt;&gt;"","Post essay: code "&amp;'Post-Test Entry'!$AR11,IF('Pre-Test Entry'!$AR11&lt;&gt;"","Pre essay: code "&amp;'Pre-Test Entry'!$AR11,""))</f>
        <v/>
      </c>
      <c r="AN11" s="39">
        <f>IFERROR(IF($AJ11="","",INDEX(Settings!$D$28:$D$34,MATCH($AJ11,Settings!$A$28:$A$34,0))),"")</f>
        <v/>
      </c>
      <c r="AP11">
        <f>IF(D11="","",D11^2)</f>
        <v/>
      </c>
      <c r="AQ11">
        <f>IF(G11="","",G11^2)</f>
        <v/>
      </c>
    </row>
    <row r="12">
      <c r="A12" s="30">
        <f>IF(Roster!$A12="","",Roster!$A12)</f>
        <v/>
      </c>
      <c r="B12" s="31">
        <f>IF(Roster!$B12&lt;&gt;"",Roster!$C12&amp;" "&amp;Roster!$B12,"")</f>
        <v/>
      </c>
      <c r="C12" s="30">
        <f>IF(Roster!$B12&lt;&gt;"",Roster!$D12,"")</f>
        <v/>
      </c>
      <c r="D12" s="16">
        <f>IF(AND(Roster!$B12&lt;&gt;"",COUNT('Pre-Test Entry'!$C12:$AQ12)&gt;0),'Pre-Test Entry'!$AS12,"")</f>
        <v/>
      </c>
      <c r="E12" s="37">
        <f>IFERROR(D12/Settings!$B$8,"")</f>
        <v/>
      </c>
      <c r="F12" s="31">
        <f>IF(D12="","",IF(D12&gt;=Settings!$B$7,"Distinguished Learner",IF(D12&gt;=Settings!$B$6,"Proficient Learner",IF(D12&gt;=Settings!$B$5,"Developing Learner","Beginning Learner"))))</f>
        <v/>
      </c>
      <c r="G12" s="16">
        <f>IF(AND(Roster!$B12&lt;&gt;"",COUNT('Post-Test Entry'!$C12:$AQ12)&gt;0),'Post-Test Entry'!$AS12,"")</f>
        <v/>
      </c>
      <c r="H12" s="37">
        <f>IFERROR(G12/Settings!$B$8,"")</f>
        <v/>
      </c>
      <c r="I12" s="31">
        <f>IF(G12="","",IF(G12&gt;=Settings!$B$7,"Distinguished Learner",IF(G12&gt;=Settings!$B$6,"Proficient Learner",IF(G12&gt;=Settings!$B$5,"Developing Learner","Beginning Learner"))))</f>
        <v/>
      </c>
      <c r="J12" s="16">
        <f>IF(OR(D12="",G12=""),"",G12-D12)</f>
        <v/>
      </c>
      <c r="K12" s="37">
        <f>IFERROR(IF(OR(J12="",J12&lt;=0),"",(G12-D12)/(Settings!$B$8-D12)),"")</f>
        <v/>
      </c>
      <c r="L12" s="38">
        <f>IFERROR(IF(J12="","",(G12-D12)/(Settings!$B$17*SQRT(2))),"")</f>
        <v/>
      </c>
      <c r="M12" s="30">
        <f>IF(L12="","",IF(ABS(L12)&gt;=1.96,"Yes","No"))</f>
        <v/>
      </c>
      <c r="N12" s="30">
        <f>IF(J12="","",IF(J12&gt;=Settings!$B$15,"Yes","No"))</f>
        <v/>
      </c>
      <c r="O12" s="37">
        <f>IFERROR(IF($D12="","",SUMIF('Pre-Test Entry'!$C$3:$AQ$3,Settings!$A$28,'Pre-Test Entry'!$C12:$AQ12)/Settings!$C$28),"")</f>
        <v/>
      </c>
      <c r="P12" s="37">
        <f>IFERROR(IF($D12="","",SUMIF('Pre-Test Entry'!$C$3:$AQ$3,Settings!$A$29,'Pre-Test Entry'!$C12:$AQ12)/Settings!$C$29),"")</f>
        <v/>
      </c>
      <c r="Q12" s="37">
        <f>IFERROR(IF($D12="","",SUMIF('Pre-Test Entry'!$C$3:$AQ$3,Settings!$A$30,'Pre-Test Entry'!$C12:$AQ12)/Settings!$C$30),"")</f>
        <v/>
      </c>
      <c r="R12" s="37">
        <f>IFERROR(IF($D12="","",SUMIF('Pre-Test Entry'!$C$3:$AQ$3,Settings!$A$31,'Pre-Test Entry'!$C12:$AQ12)/Settings!$C$31),"")</f>
        <v/>
      </c>
      <c r="S12" s="37">
        <f>IFERROR(IF($D12="","",SUMIF('Pre-Test Entry'!$C$3:$AQ$3,Settings!$A$32,'Pre-Test Entry'!$C12:$AQ12)/Settings!$C$32),"")</f>
        <v/>
      </c>
      <c r="T12" s="37">
        <f>IFERROR(IF($D12="","",SUMIF('Pre-Test Entry'!$C$3:$AQ$3,Settings!$A$33,'Pre-Test Entry'!$C12:$AQ12)/Settings!$C$33),"")</f>
        <v/>
      </c>
      <c r="U12" s="37">
        <f>IFERROR(IF($D12="","",SUMIF('Pre-Test Entry'!$C$3:$AQ$3,Settings!$A$34,'Pre-Test Entry'!$C12:$AQ12)/Settings!$C$34),"")</f>
        <v/>
      </c>
      <c r="V12" s="37">
        <f>IFERROR(IF($G12="","",SUMIF('Post-Test Entry'!$C$3:$AQ$3,Settings!$A$28,'Post-Test Entry'!$C12:$AQ12)/Settings!$C$28),"")</f>
        <v/>
      </c>
      <c r="W12" s="37">
        <f>IFERROR(IF($G12="","",SUMIF('Post-Test Entry'!$C$3:$AQ$3,Settings!$A$29,'Post-Test Entry'!$C12:$AQ12)/Settings!$C$29),"")</f>
        <v/>
      </c>
      <c r="X12" s="37">
        <f>IFERROR(IF($G12="","",SUMIF('Post-Test Entry'!$C$3:$AQ$3,Settings!$A$30,'Post-Test Entry'!$C12:$AQ12)/Settings!$C$30),"")</f>
        <v/>
      </c>
      <c r="Y12" s="37">
        <f>IFERROR(IF($G12="","",SUMIF('Post-Test Entry'!$C$3:$AQ$3,Settings!$A$31,'Post-Test Entry'!$C12:$AQ12)/Settings!$C$31),"")</f>
        <v/>
      </c>
      <c r="Z12" s="37">
        <f>IFERROR(IF($G12="","",SUMIF('Post-Test Entry'!$C$3:$AQ$3,Settings!$A$32,'Post-Test Entry'!$C12:$AQ12)/Settings!$C$32),"")</f>
        <v/>
      </c>
      <c r="AA12" s="37">
        <f>IFERROR(IF($G12="","",SUMIF('Post-Test Entry'!$C$3:$AQ$3,Settings!$A$33,'Post-Test Entry'!$C12:$AQ12)/Settings!$C$33),"")</f>
        <v/>
      </c>
      <c r="AB12" s="37">
        <f>IFERROR(IF($G12="","",SUMIF('Post-Test Entry'!$C$3:$AQ$3,Settings!$A$34,'Post-Test Entry'!$C12:$AQ12)/Settings!$C$34),"")</f>
        <v/>
      </c>
      <c r="AC12" s="37">
        <f>IF(OR(O12="",V12=""),"",V12-O12)</f>
        <v/>
      </c>
      <c r="AD12" s="37">
        <f>IF(OR(P12="",W12=""),"",W12-P12)</f>
        <v/>
      </c>
      <c r="AE12" s="37">
        <f>IF(OR(Q12="",X12=""),"",X12-Q12)</f>
        <v/>
      </c>
      <c r="AF12" s="37">
        <f>IF(OR(R12="",Y12=""),"",Y12-R12)</f>
        <v/>
      </c>
      <c r="AG12" s="37">
        <f>IF(OR(S12="",Z12=""),"",Z12-S12)</f>
        <v/>
      </c>
      <c r="AH12" s="37">
        <f>IF(OR(T12="",AA12=""),"",AA12-T12)</f>
        <v/>
      </c>
      <c r="AI12" s="37">
        <f>IF(OR(U12="",AB12=""),"",AB12-U12)</f>
        <v/>
      </c>
      <c r="AJ12" s="30">
        <f>IFERROR(IF($G12&lt;&gt;"",INDEX($V$4:$AB$4,MATCH(MIN($V12:$AB12),$V12:$AB12,0)),IF($D12&lt;&gt;"",INDEX($O$4:$U$4,MATCH(MIN($O12:$U12),$O12:$U12,0)),"")),"")</f>
        <v/>
      </c>
      <c r="AK12" s="30">
        <f>IFERROR(IF($G12&lt;&gt;"",INDEX($V$4:$AB$4,MATCH(SMALL($V12:$AB12,2),$V12:$AB12,0)),IF($D12&lt;&gt;"",INDEX($O$4:$U$4,MATCH(SMALL($O12:$U12,2),$O12:$U12,0)),"")),"")</f>
        <v/>
      </c>
      <c r="AL12" s="30">
        <f>IF(OR(G12="",Settings!$B$17=""),"",IF(OR(ABS(G12-Settings!$B$5)&lt;=Settings!$B$17,ABS(G12-Settings!$B$6)&lt;=Settings!$B$17,ABS(G12-Settings!$B$7)&lt;=Settings!$B$17),"NEAR CUT",""))</f>
        <v/>
      </c>
      <c r="AM12" s="31">
        <f>IF('Post-Test Entry'!$AR12&lt;&gt;"","Post essay: code "&amp;'Post-Test Entry'!$AR12,IF('Pre-Test Entry'!$AR12&lt;&gt;"","Pre essay: code "&amp;'Pre-Test Entry'!$AR12,""))</f>
        <v/>
      </c>
      <c r="AN12" s="39">
        <f>IFERROR(IF($AJ12="","",INDEX(Settings!$D$28:$D$34,MATCH($AJ12,Settings!$A$28:$A$34,0))),"")</f>
        <v/>
      </c>
      <c r="AP12">
        <f>IF(D12="","",D12^2)</f>
        <v/>
      </c>
      <c r="AQ12">
        <f>IF(G12="","",G12^2)</f>
        <v/>
      </c>
    </row>
    <row r="13">
      <c r="A13" s="30">
        <f>IF(Roster!$A13="","",Roster!$A13)</f>
        <v/>
      </c>
      <c r="B13" s="31">
        <f>IF(Roster!$B13&lt;&gt;"",Roster!$C13&amp;" "&amp;Roster!$B13,"")</f>
        <v/>
      </c>
      <c r="C13" s="30">
        <f>IF(Roster!$B13&lt;&gt;"",Roster!$D13,"")</f>
        <v/>
      </c>
      <c r="D13" s="16">
        <f>IF(AND(Roster!$B13&lt;&gt;"",COUNT('Pre-Test Entry'!$C13:$AQ13)&gt;0),'Pre-Test Entry'!$AS13,"")</f>
        <v/>
      </c>
      <c r="E13" s="37">
        <f>IFERROR(D13/Settings!$B$8,"")</f>
        <v/>
      </c>
      <c r="F13" s="31">
        <f>IF(D13="","",IF(D13&gt;=Settings!$B$7,"Distinguished Learner",IF(D13&gt;=Settings!$B$6,"Proficient Learner",IF(D13&gt;=Settings!$B$5,"Developing Learner","Beginning Learner"))))</f>
        <v/>
      </c>
      <c r="G13" s="16">
        <f>IF(AND(Roster!$B13&lt;&gt;"",COUNT('Post-Test Entry'!$C13:$AQ13)&gt;0),'Post-Test Entry'!$AS13,"")</f>
        <v/>
      </c>
      <c r="H13" s="37">
        <f>IFERROR(G13/Settings!$B$8,"")</f>
        <v/>
      </c>
      <c r="I13" s="31">
        <f>IF(G13="","",IF(G13&gt;=Settings!$B$7,"Distinguished Learner",IF(G13&gt;=Settings!$B$6,"Proficient Learner",IF(G13&gt;=Settings!$B$5,"Developing Learner","Beginning Learner"))))</f>
        <v/>
      </c>
      <c r="J13" s="16">
        <f>IF(OR(D13="",G13=""),"",G13-D13)</f>
        <v/>
      </c>
      <c r="K13" s="37">
        <f>IFERROR(IF(OR(J13="",J13&lt;=0),"",(G13-D13)/(Settings!$B$8-D13)),"")</f>
        <v/>
      </c>
      <c r="L13" s="38">
        <f>IFERROR(IF(J13="","",(G13-D13)/(Settings!$B$17*SQRT(2))),"")</f>
        <v/>
      </c>
      <c r="M13" s="30">
        <f>IF(L13="","",IF(ABS(L13)&gt;=1.96,"Yes","No"))</f>
        <v/>
      </c>
      <c r="N13" s="30">
        <f>IF(J13="","",IF(J13&gt;=Settings!$B$15,"Yes","No"))</f>
        <v/>
      </c>
      <c r="O13" s="37">
        <f>IFERROR(IF($D13="","",SUMIF('Pre-Test Entry'!$C$3:$AQ$3,Settings!$A$28,'Pre-Test Entry'!$C13:$AQ13)/Settings!$C$28),"")</f>
        <v/>
      </c>
      <c r="P13" s="37">
        <f>IFERROR(IF($D13="","",SUMIF('Pre-Test Entry'!$C$3:$AQ$3,Settings!$A$29,'Pre-Test Entry'!$C13:$AQ13)/Settings!$C$29),"")</f>
        <v/>
      </c>
      <c r="Q13" s="37">
        <f>IFERROR(IF($D13="","",SUMIF('Pre-Test Entry'!$C$3:$AQ$3,Settings!$A$30,'Pre-Test Entry'!$C13:$AQ13)/Settings!$C$30),"")</f>
        <v/>
      </c>
      <c r="R13" s="37">
        <f>IFERROR(IF($D13="","",SUMIF('Pre-Test Entry'!$C$3:$AQ$3,Settings!$A$31,'Pre-Test Entry'!$C13:$AQ13)/Settings!$C$31),"")</f>
        <v/>
      </c>
      <c r="S13" s="37">
        <f>IFERROR(IF($D13="","",SUMIF('Pre-Test Entry'!$C$3:$AQ$3,Settings!$A$32,'Pre-Test Entry'!$C13:$AQ13)/Settings!$C$32),"")</f>
        <v/>
      </c>
      <c r="T13" s="37">
        <f>IFERROR(IF($D13="","",SUMIF('Pre-Test Entry'!$C$3:$AQ$3,Settings!$A$33,'Pre-Test Entry'!$C13:$AQ13)/Settings!$C$33),"")</f>
        <v/>
      </c>
      <c r="U13" s="37">
        <f>IFERROR(IF($D13="","",SUMIF('Pre-Test Entry'!$C$3:$AQ$3,Settings!$A$34,'Pre-Test Entry'!$C13:$AQ13)/Settings!$C$34),"")</f>
        <v/>
      </c>
      <c r="V13" s="37">
        <f>IFERROR(IF($G13="","",SUMIF('Post-Test Entry'!$C$3:$AQ$3,Settings!$A$28,'Post-Test Entry'!$C13:$AQ13)/Settings!$C$28),"")</f>
        <v/>
      </c>
      <c r="W13" s="37">
        <f>IFERROR(IF($G13="","",SUMIF('Post-Test Entry'!$C$3:$AQ$3,Settings!$A$29,'Post-Test Entry'!$C13:$AQ13)/Settings!$C$29),"")</f>
        <v/>
      </c>
      <c r="X13" s="37">
        <f>IFERROR(IF($G13="","",SUMIF('Post-Test Entry'!$C$3:$AQ$3,Settings!$A$30,'Post-Test Entry'!$C13:$AQ13)/Settings!$C$30),"")</f>
        <v/>
      </c>
      <c r="Y13" s="37">
        <f>IFERROR(IF($G13="","",SUMIF('Post-Test Entry'!$C$3:$AQ$3,Settings!$A$31,'Post-Test Entry'!$C13:$AQ13)/Settings!$C$31),"")</f>
        <v/>
      </c>
      <c r="Z13" s="37">
        <f>IFERROR(IF($G13="","",SUMIF('Post-Test Entry'!$C$3:$AQ$3,Settings!$A$32,'Post-Test Entry'!$C13:$AQ13)/Settings!$C$32),"")</f>
        <v/>
      </c>
      <c r="AA13" s="37">
        <f>IFERROR(IF($G13="","",SUMIF('Post-Test Entry'!$C$3:$AQ$3,Settings!$A$33,'Post-Test Entry'!$C13:$AQ13)/Settings!$C$33),"")</f>
        <v/>
      </c>
      <c r="AB13" s="37">
        <f>IFERROR(IF($G13="","",SUMIF('Post-Test Entry'!$C$3:$AQ$3,Settings!$A$34,'Post-Test Entry'!$C13:$AQ13)/Settings!$C$34),"")</f>
        <v/>
      </c>
      <c r="AC13" s="37">
        <f>IF(OR(O13="",V13=""),"",V13-O13)</f>
        <v/>
      </c>
      <c r="AD13" s="37">
        <f>IF(OR(P13="",W13=""),"",W13-P13)</f>
        <v/>
      </c>
      <c r="AE13" s="37">
        <f>IF(OR(Q13="",X13=""),"",X13-Q13)</f>
        <v/>
      </c>
      <c r="AF13" s="37">
        <f>IF(OR(R13="",Y13=""),"",Y13-R13)</f>
        <v/>
      </c>
      <c r="AG13" s="37">
        <f>IF(OR(S13="",Z13=""),"",Z13-S13)</f>
        <v/>
      </c>
      <c r="AH13" s="37">
        <f>IF(OR(T13="",AA13=""),"",AA13-T13)</f>
        <v/>
      </c>
      <c r="AI13" s="37">
        <f>IF(OR(U13="",AB13=""),"",AB13-U13)</f>
        <v/>
      </c>
      <c r="AJ13" s="30">
        <f>IFERROR(IF($G13&lt;&gt;"",INDEX($V$4:$AB$4,MATCH(MIN($V13:$AB13),$V13:$AB13,0)),IF($D13&lt;&gt;"",INDEX($O$4:$U$4,MATCH(MIN($O13:$U13),$O13:$U13,0)),"")),"")</f>
        <v/>
      </c>
      <c r="AK13" s="30">
        <f>IFERROR(IF($G13&lt;&gt;"",INDEX($V$4:$AB$4,MATCH(SMALL($V13:$AB13,2),$V13:$AB13,0)),IF($D13&lt;&gt;"",INDEX($O$4:$U$4,MATCH(SMALL($O13:$U13,2),$O13:$U13,0)),"")),"")</f>
        <v/>
      </c>
      <c r="AL13" s="30">
        <f>IF(OR(G13="",Settings!$B$17=""),"",IF(OR(ABS(G13-Settings!$B$5)&lt;=Settings!$B$17,ABS(G13-Settings!$B$6)&lt;=Settings!$B$17,ABS(G13-Settings!$B$7)&lt;=Settings!$B$17),"NEAR CUT",""))</f>
        <v/>
      </c>
      <c r="AM13" s="31">
        <f>IF('Post-Test Entry'!$AR13&lt;&gt;"","Post essay: code "&amp;'Post-Test Entry'!$AR13,IF('Pre-Test Entry'!$AR13&lt;&gt;"","Pre essay: code "&amp;'Pre-Test Entry'!$AR13,""))</f>
        <v/>
      </c>
      <c r="AN13" s="39">
        <f>IFERROR(IF($AJ13="","",INDEX(Settings!$D$28:$D$34,MATCH($AJ13,Settings!$A$28:$A$34,0))),"")</f>
        <v/>
      </c>
      <c r="AP13">
        <f>IF(D13="","",D13^2)</f>
        <v/>
      </c>
      <c r="AQ13">
        <f>IF(G13="","",G13^2)</f>
        <v/>
      </c>
    </row>
    <row r="14">
      <c r="A14" s="30">
        <f>IF(Roster!$A14="","",Roster!$A14)</f>
        <v/>
      </c>
      <c r="B14" s="31">
        <f>IF(Roster!$B14&lt;&gt;"",Roster!$C14&amp;" "&amp;Roster!$B14,"")</f>
        <v/>
      </c>
      <c r="C14" s="30">
        <f>IF(Roster!$B14&lt;&gt;"",Roster!$D14,"")</f>
        <v/>
      </c>
      <c r="D14" s="16">
        <f>IF(AND(Roster!$B14&lt;&gt;"",COUNT('Pre-Test Entry'!$C14:$AQ14)&gt;0),'Pre-Test Entry'!$AS14,"")</f>
        <v/>
      </c>
      <c r="E14" s="37">
        <f>IFERROR(D14/Settings!$B$8,"")</f>
        <v/>
      </c>
      <c r="F14" s="31">
        <f>IF(D14="","",IF(D14&gt;=Settings!$B$7,"Distinguished Learner",IF(D14&gt;=Settings!$B$6,"Proficient Learner",IF(D14&gt;=Settings!$B$5,"Developing Learner","Beginning Learner"))))</f>
        <v/>
      </c>
      <c r="G14" s="16">
        <f>IF(AND(Roster!$B14&lt;&gt;"",COUNT('Post-Test Entry'!$C14:$AQ14)&gt;0),'Post-Test Entry'!$AS14,"")</f>
        <v/>
      </c>
      <c r="H14" s="37">
        <f>IFERROR(G14/Settings!$B$8,"")</f>
        <v/>
      </c>
      <c r="I14" s="31">
        <f>IF(G14="","",IF(G14&gt;=Settings!$B$7,"Distinguished Learner",IF(G14&gt;=Settings!$B$6,"Proficient Learner",IF(G14&gt;=Settings!$B$5,"Developing Learner","Beginning Learner"))))</f>
        <v/>
      </c>
      <c r="J14" s="16">
        <f>IF(OR(D14="",G14=""),"",G14-D14)</f>
        <v/>
      </c>
      <c r="K14" s="37">
        <f>IFERROR(IF(OR(J14="",J14&lt;=0),"",(G14-D14)/(Settings!$B$8-D14)),"")</f>
        <v/>
      </c>
      <c r="L14" s="38">
        <f>IFERROR(IF(J14="","",(G14-D14)/(Settings!$B$17*SQRT(2))),"")</f>
        <v/>
      </c>
      <c r="M14" s="30">
        <f>IF(L14="","",IF(ABS(L14)&gt;=1.96,"Yes","No"))</f>
        <v/>
      </c>
      <c r="N14" s="30">
        <f>IF(J14="","",IF(J14&gt;=Settings!$B$15,"Yes","No"))</f>
        <v/>
      </c>
      <c r="O14" s="37">
        <f>IFERROR(IF($D14="","",SUMIF('Pre-Test Entry'!$C$3:$AQ$3,Settings!$A$28,'Pre-Test Entry'!$C14:$AQ14)/Settings!$C$28),"")</f>
        <v/>
      </c>
      <c r="P14" s="37">
        <f>IFERROR(IF($D14="","",SUMIF('Pre-Test Entry'!$C$3:$AQ$3,Settings!$A$29,'Pre-Test Entry'!$C14:$AQ14)/Settings!$C$29),"")</f>
        <v/>
      </c>
      <c r="Q14" s="37">
        <f>IFERROR(IF($D14="","",SUMIF('Pre-Test Entry'!$C$3:$AQ$3,Settings!$A$30,'Pre-Test Entry'!$C14:$AQ14)/Settings!$C$30),"")</f>
        <v/>
      </c>
      <c r="R14" s="37">
        <f>IFERROR(IF($D14="","",SUMIF('Pre-Test Entry'!$C$3:$AQ$3,Settings!$A$31,'Pre-Test Entry'!$C14:$AQ14)/Settings!$C$31),"")</f>
        <v/>
      </c>
      <c r="S14" s="37">
        <f>IFERROR(IF($D14="","",SUMIF('Pre-Test Entry'!$C$3:$AQ$3,Settings!$A$32,'Pre-Test Entry'!$C14:$AQ14)/Settings!$C$32),"")</f>
        <v/>
      </c>
      <c r="T14" s="37">
        <f>IFERROR(IF($D14="","",SUMIF('Pre-Test Entry'!$C$3:$AQ$3,Settings!$A$33,'Pre-Test Entry'!$C14:$AQ14)/Settings!$C$33),"")</f>
        <v/>
      </c>
      <c r="U14" s="37">
        <f>IFERROR(IF($D14="","",SUMIF('Pre-Test Entry'!$C$3:$AQ$3,Settings!$A$34,'Pre-Test Entry'!$C14:$AQ14)/Settings!$C$34),"")</f>
        <v/>
      </c>
      <c r="V14" s="37">
        <f>IFERROR(IF($G14="","",SUMIF('Post-Test Entry'!$C$3:$AQ$3,Settings!$A$28,'Post-Test Entry'!$C14:$AQ14)/Settings!$C$28),"")</f>
        <v/>
      </c>
      <c r="W14" s="37">
        <f>IFERROR(IF($G14="","",SUMIF('Post-Test Entry'!$C$3:$AQ$3,Settings!$A$29,'Post-Test Entry'!$C14:$AQ14)/Settings!$C$29),"")</f>
        <v/>
      </c>
      <c r="X14" s="37">
        <f>IFERROR(IF($G14="","",SUMIF('Post-Test Entry'!$C$3:$AQ$3,Settings!$A$30,'Post-Test Entry'!$C14:$AQ14)/Settings!$C$30),"")</f>
        <v/>
      </c>
      <c r="Y14" s="37">
        <f>IFERROR(IF($G14="","",SUMIF('Post-Test Entry'!$C$3:$AQ$3,Settings!$A$31,'Post-Test Entry'!$C14:$AQ14)/Settings!$C$31),"")</f>
        <v/>
      </c>
      <c r="Z14" s="37">
        <f>IFERROR(IF($G14="","",SUMIF('Post-Test Entry'!$C$3:$AQ$3,Settings!$A$32,'Post-Test Entry'!$C14:$AQ14)/Settings!$C$32),"")</f>
        <v/>
      </c>
      <c r="AA14" s="37">
        <f>IFERROR(IF($G14="","",SUMIF('Post-Test Entry'!$C$3:$AQ$3,Settings!$A$33,'Post-Test Entry'!$C14:$AQ14)/Settings!$C$33),"")</f>
        <v/>
      </c>
      <c r="AB14" s="37">
        <f>IFERROR(IF($G14="","",SUMIF('Post-Test Entry'!$C$3:$AQ$3,Settings!$A$34,'Post-Test Entry'!$C14:$AQ14)/Settings!$C$34),"")</f>
        <v/>
      </c>
      <c r="AC14" s="37">
        <f>IF(OR(O14="",V14=""),"",V14-O14)</f>
        <v/>
      </c>
      <c r="AD14" s="37">
        <f>IF(OR(P14="",W14=""),"",W14-P14)</f>
        <v/>
      </c>
      <c r="AE14" s="37">
        <f>IF(OR(Q14="",X14=""),"",X14-Q14)</f>
        <v/>
      </c>
      <c r="AF14" s="37">
        <f>IF(OR(R14="",Y14=""),"",Y14-R14)</f>
        <v/>
      </c>
      <c r="AG14" s="37">
        <f>IF(OR(S14="",Z14=""),"",Z14-S14)</f>
        <v/>
      </c>
      <c r="AH14" s="37">
        <f>IF(OR(T14="",AA14=""),"",AA14-T14)</f>
        <v/>
      </c>
      <c r="AI14" s="37">
        <f>IF(OR(U14="",AB14=""),"",AB14-U14)</f>
        <v/>
      </c>
      <c r="AJ14" s="30">
        <f>IFERROR(IF($G14&lt;&gt;"",INDEX($V$4:$AB$4,MATCH(MIN($V14:$AB14),$V14:$AB14,0)),IF($D14&lt;&gt;"",INDEX($O$4:$U$4,MATCH(MIN($O14:$U14),$O14:$U14,0)),"")),"")</f>
        <v/>
      </c>
      <c r="AK14" s="30">
        <f>IFERROR(IF($G14&lt;&gt;"",INDEX($V$4:$AB$4,MATCH(SMALL($V14:$AB14,2),$V14:$AB14,0)),IF($D14&lt;&gt;"",INDEX($O$4:$U$4,MATCH(SMALL($O14:$U14,2),$O14:$U14,0)),"")),"")</f>
        <v/>
      </c>
      <c r="AL14" s="30">
        <f>IF(OR(G14="",Settings!$B$17=""),"",IF(OR(ABS(G14-Settings!$B$5)&lt;=Settings!$B$17,ABS(G14-Settings!$B$6)&lt;=Settings!$B$17,ABS(G14-Settings!$B$7)&lt;=Settings!$B$17),"NEAR CUT",""))</f>
        <v/>
      </c>
      <c r="AM14" s="31">
        <f>IF('Post-Test Entry'!$AR14&lt;&gt;"","Post essay: code "&amp;'Post-Test Entry'!$AR14,IF('Pre-Test Entry'!$AR14&lt;&gt;"","Pre essay: code "&amp;'Pre-Test Entry'!$AR14,""))</f>
        <v/>
      </c>
      <c r="AN14" s="39">
        <f>IFERROR(IF($AJ14="","",INDEX(Settings!$D$28:$D$34,MATCH($AJ14,Settings!$A$28:$A$34,0))),"")</f>
        <v/>
      </c>
      <c r="AP14">
        <f>IF(D14="","",D14^2)</f>
        <v/>
      </c>
      <c r="AQ14">
        <f>IF(G14="","",G14^2)</f>
        <v/>
      </c>
    </row>
    <row r="15">
      <c r="A15" s="30">
        <f>IF(Roster!$A15="","",Roster!$A15)</f>
        <v/>
      </c>
      <c r="B15" s="31">
        <f>IF(Roster!$B15&lt;&gt;"",Roster!$C15&amp;" "&amp;Roster!$B15,"")</f>
        <v/>
      </c>
      <c r="C15" s="30">
        <f>IF(Roster!$B15&lt;&gt;"",Roster!$D15,"")</f>
        <v/>
      </c>
      <c r="D15" s="16">
        <f>IF(AND(Roster!$B15&lt;&gt;"",COUNT('Pre-Test Entry'!$C15:$AQ15)&gt;0),'Pre-Test Entry'!$AS15,"")</f>
        <v/>
      </c>
      <c r="E15" s="37">
        <f>IFERROR(D15/Settings!$B$8,"")</f>
        <v/>
      </c>
      <c r="F15" s="31">
        <f>IF(D15="","",IF(D15&gt;=Settings!$B$7,"Distinguished Learner",IF(D15&gt;=Settings!$B$6,"Proficient Learner",IF(D15&gt;=Settings!$B$5,"Developing Learner","Beginning Learner"))))</f>
        <v/>
      </c>
      <c r="G15" s="16">
        <f>IF(AND(Roster!$B15&lt;&gt;"",COUNT('Post-Test Entry'!$C15:$AQ15)&gt;0),'Post-Test Entry'!$AS15,"")</f>
        <v/>
      </c>
      <c r="H15" s="37">
        <f>IFERROR(G15/Settings!$B$8,"")</f>
        <v/>
      </c>
      <c r="I15" s="31">
        <f>IF(G15="","",IF(G15&gt;=Settings!$B$7,"Distinguished Learner",IF(G15&gt;=Settings!$B$6,"Proficient Learner",IF(G15&gt;=Settings!$B$5,"Developing Learner","Beginning Learner"))))</f>
        <v/>
      </c>
      <c r="J15" s="16">
        <f>IF(OR(D15="",G15=""),"",G15-D15)</f>
        <v/>
      </c>
      <c r="K15" s="37">
        <f>IFERROR(IF(OR(J15="",J15&lt;=0),"",(G15-D15)/(Settings!$B$8-D15)),"")</f>
        <v/>
      </c>
      <c r="L15" s="38">
        <f>IFERROR(IF(J15="","",(G15-D15)/(Settings!$B$17*SQRT(2))),"")</f>
        <v/>
      </c>
      <c r="M15" s="30">
        <f>IF(L15="","",IF(ABS(L15)&gt;=1.96,"Yes","No"))</f>
        <v/>
      </c>
      <c r="N15" s="30">
        <f>IF(J15="","",IF(J15&gt;=Settings!$B$15,"Yes","No"))</f>
        <v/>
      </c>
      <c r="O15" s="37">
        <f>IFERROR(IF($D15="","",SUMIF('Pre-Test Entry'!$C$3:$AQ$3,Settings!$A$28,'Pre-Test Entry'!$C15:$AQ15)/Settings!$C$28),"")</f>
        <v/>
      </c>
      <c r="P15" s="37">
        <f>IFERROR(IF($D15="","",SUMIF('Pre-Test Entry'!$C$3:$AQ$3,Settings!$A$29,'Pre-Test Entry'!$C15:$AQ15)/Settings!$C$29),"")</f>
        <v/>
      </c>
      <c r="Q15" s="37">
        <f>IFERROR(IF($D15="","",SUMIF('Pre-Test Entry'!$C$3:$AQ$3,Settings!$A$30,'Pre-Test Entry'!$C15:$AQ15)/Settings!$C$30),"")</f>
        <v/>
      </c>
      <c r="R15" s="37">
        <f>IFERROR(IF($D15="","",SUMIF('Pre-Test Entry'!$C$3:$AQ$3,Settings!$A$31,'Pre-Test Entry'!$C15:$AQ15)/Settings!$C$31),"")</f>
        <v/>
      </c>
      <c r="S15" s="37">
        <f>IFERROR(IF($D15="","",SUMIF('Pre-Test Entry'!$C$3:$AQ$3,Settings!$A$32,'Pre-Test Entry'!$C15:$AQ15)/Settings!$C$32),"")</f>
        <v/>
      </c>
      <c r="T15" s="37">
        <f>IFERROR(IF($D15="","",SUMIF('Pre-Test Entry'!$C$3:$AQ$3,Settings!$A$33,'Pre-Test Entry'!$C15:$AQ15)/Settings!$C$33),"")</f>
        <v/>
      </c>
      <c r="U15" s="37">
        <f>IFERROR(IF($D15="","",SUMIF('Pre-Test Entry'!$C$3:$AQ$3,Settings!$A$34,'Pre-Test Entry'!$C15:$AQ15)/Settings!$C$34),"")</f>
        <v/>
      </c>
      <c r="V15" s="37">
        <f>IFERROR(IF($G15="","",SUMIF('Post-Test Entry'!$C$3:$AQ$3,Settings!$A$28,'Post-Test Entry'!$C15:$AQ15)/Settings!$C$28),"")</f>
        <v/>
      </c>
      <c r="W15" s="37">
        <f>IFERROR(IF($G15="","",SUMIF('Post-Test Entry'!$C$3:$AQ$3,Settings!$A$29,'Post-Test Entry'!$C15:$AQ15)/Settings!$C$29),"")</f>
        <v/>
      </c>
      <c r="X15" s="37">
        <f>IFERROR(IF($G15="","",SUMIF('Post-Test Entry'!$C$3:$AQ$3,Settings!$A$30,'Post-Test Entry'!$C15:$AQ15)/Settings!$C$30),"")</f>
        <v/>
      </c>
      <c r="Y15" s="37">
        <f>IFERROR(IF($G15="","",SUMIF('Post-Test Entry'!$C$3:$AQ$3,Settings!$A$31,'Post-Test Entry'!$C15:$AQ15)/Settings!$C$31),"")</f>
        <v/>
      </c>
      <c r="Z15" s="37">
        <f>IFERROR(IF($G15="","",SUMIF('Post-Test Entry'!$C$3:$AQ$3,Settings!$A$32,'Post-Test Entry'!$C15:$AQ15)/Settings!$C$32),"")</f>
        <v/>
      </c>
      <c r="AA15" s="37">
        <f>IFERROR(IF($G15="","",SUMIF('Post-Test Entry'!$C$3:$AQ$3,Settings!$A$33,'Post-Test Entry'!$C15:$AQ15)/Settings!$C$33),"")</f>
        <v/>
      </c>
      <c r="AB15" s="37">
        <f>IFERROR(IF($G15="","",SUMIF('Post-Test Entry'!$C$3:$AQ$3,Settings!$A$34,'Post-Test Entry'!$C15:$AQ15)/Settings!$C$34),"")</f>
        <v/>
      </c>
      <c r="AC15" s="37">
        <f>IF(OR(O15="",V15=""),"",V15-O15)</f>
        <v/>
      </c>
      <c r="AD15" s="37">
        <f>IF(OR(P15="",W15=""),"",W15-P15)</f>
        <v/>
      </c>
      <c r="AE15" s="37">
        <f>IF(OR(Q15="",X15=""),"",X15-Q15)</f>
        <v/>
      </c>
      <c r="AF15" s="37">
        <f>IF(OR(R15="",Y15=""),"",Y15-R15)</f>
        <v/>
      </c>
      <c r="AG15" s="37">
        <f>IF(OR(S15="",Z15=""),"",Z15-S15)</f>
        <v/>
      </c>
      <c r="AH15" s="37">
        <f>IF(OR(T15="",AA15=""),"",AA15-T15)</f>
        <v/>
      </c>
      <c r="AI15" s="37">
        <f>IF(OR(U15="",AB15=""),"",AB15-U15)</f>
        <v/>
      </c>
      <c r="AJ15" s="30">
        <f>IFERROR(IF($G15&lt;&gt;"",INDEX($V$4:$AB$4,MATCH(MIN($V15:$AB15),$V15:$AB15,0)),IF($D15&lt;&gt;"",INDEX($O$4:$U$4,MATCH(MIN($O15:$U15),$O15:$U15,0)),"")),"")</f>
        <v/>
      </c>
      <c r="AK15" s="30">
        <f>IFERROR(IF($G15&lt;&gt;"",INDEX($V$4:$AB$4,MATCH(SMALL($V15:$AB15,2),$V15:$AB15,0)),IF($D15&lt;&gt;"",INDEX($O$4:$U$4,MATCH(SMALL($O15:$U15,2),$O15:$U15,0)),"")),"")</f>
        <v/>
      </c>
      <c r="AL15" s="30">
        <f>IF(OR(G15="",Settings!$B$17=""),"",IF(OR(ABS(G15-Settings!$B$5)&lt;=Settings!$B$17,ABS(G15-Settings!$B$6)&lt;=Settings!$B$17,ABS(G15-Settings!$B$7)&lt;=Settings!$B$17),"NEAR CUT",""))</f>
        <v/>
      </c>
      <c r="AM15" s="31">
        <f>IF('Post-Test Entry'!$AR15&lt;&gt;"","Post essay: code "&amp;'Post-Test Entry'!$AR15,IF('Pre-Test Entry'!$AR15&lt;&gt;"","Pre essay: code "&amp;'Pre-Test Entry'!$AR15,""))</f>
        <v/>
      </c>
      <c r="AN15" s="39">
        <f>IFERROR(IF($AJ15="","",INDEX(Settings!$D$28:$D$34,MATCH($AJ15,Settings!$A$28:$A$34,0))),"")</f>
        <v/>
      </c>
      <c r="AP15">
        <f>IF(D15="","",D15^2)</f>
        <v/>
      </c>
      <c r="AQ15">
        <f>IF(G15="","",G15^2)</f>
        <v/>
      </c>
    </row>
    <row r="16">
      <c r="A16" s="30">
        <f>IF(Roster!$A16="","",Roster!$A16)</f>
        <v/>
      </c>
      <c r="B16" s="31">
        <f>IF(Roster!$B16&lt;&gt;"",Roster!$C16&amp;" "&amp;Roster!$B16,"")</f>
        <v/>
      </c>
      <c r="C16" s="30">
        <f>IF(Roster!$B16&lt;&gt;"",Roster!$D16,"")</f>
        <v/>
      </c>
      <c r="D16" s="16">
        <f>IF(AND(Roster!$B16&lt;&gt;"",COUNT('Pre-Test Entry'!$C16:$AQ16)&gt;0),'Pre-Test Entry'!$AS16,"")</f>
        <v/>
      </c>
      <c r="E16" s="37">
        <f>IFERROR(D16/Settings!$B$8,"")</f>
        <v/>
      </c>
      <c r="F16" s="31">
        <f>IF(D16="","",IF(D16&gt;=Settings!$B$7,"Distinguished Learner",IF(D16&gt;=Settings!$B$6,"Proficient Learner",IF(D16&gt;=Settings!$B$5,"Developing Learner","Beginning Learner"))))</f>
        <v/>
      </c>
      <c r="G16" s="16">
        <f>IF(AND(Roster!$B16&lt;&gt;"",COUNT('Post-Test Entry'!$C16:$AQ16)&gt;0),'Post-Test Entry'!$AS16,"")</f>
        <v/>
      </c>
      <c r="H16" s="37">
        <f>IFERROR(G16/Settings!$B$8,"")</f>
        <v/>
      </c>
      <c r="I16" s="31">
        <f>IF(G16="","",IF(G16&gt;=Settings!$B$7,"Distinguished Learner",IF(G16&gt;=Settings!$B$6,"Proficient Learner",IF(G16&gt;=Settings!$B$5,"Developing Learner","Beginning Learner"))))</f>
        <v/>
      </c>
      <c r="J16" s="16">
        <f>IF(OR(D16="",G16=""),"",G16-D16)</f>
        <v/>
      </c>
      <c r="K16" s="37">
        <f>IFERROR(IF(OR(J16="",J16&lt;=0),"",(G16-D16)/(Settings!$B$8-D16)),"")</f>
        <v/>
      </c>
      <c r="L16" s="38">
        <f>IFERROR(IF(J16="","",(G16-D16)/(Settings!$B$17*SQRT(2))),"")</f>
        <v/>
      </c>
      <c r="M16" s="30">
        <f>IF(L16="","",IF(ABS(L16)&gt;=1.96,"Yes","No"))</f>
        <v/>
      </c>
      <c r="N16" s="30">
        <f>IF(J16="","",IF(J16&gt;=Settings!$B$15,"Yes","No"))</f>
        <v/>
      </c>
      <c r="O16" s="37">
        <f>IFERROR(IF($D16="","",SUMIF('Pre-Test Entry'!$C$3:$AQ$3,Settings!$A$28,'Pre-Test Entry'!$C16:$AQ16)/Settings!$C$28),"")</f>
        <v/>
      </c>
      <c r="P16" s="37">
        <f>IFERROR(IF($D16="","",SUMIF('Pre-Test Entry'!$C$3:$AQ$3,Settings!$A$29,'Pre-Test Entry'!$C16:$AQ16)/Settings!$C$29),"")</f>
        <v/>
      </c>
      <c r="Q16" s="37">
        <f>IFERROR(IF($D16="","",SUMIF('Pre-Test Entry'!$C$3:$AQ$3,Settings!$A$30,'Pre-Test Entry'!$C16:$AQ16)/Settings!$C$30),"")</f>
        <v/>
      </c>
      <c r="R16" s="37">
        <f>IFERROR(IF($D16="","",SUMIF('Pre-Test Entry'!$C$3:$AQ$3,Settings!$A$31,'Pre-Test Entry'!$C16:$AQ16)/Settings!$C$31),"")</f>
        <v/>
      </c>
      <c r="S16" s="37">
        <f>IFERROR(IF($D16="","",SUMIF('Pre-Test Entry'!$C$3:$AQ$3,Settings!$A$32,'Pre-Test Entry'!$C16:$AQ16)/Settings!$C$32),"")</f>
        <v/>
      </c>
      <c r="T16" s="37">
        <f>IFERROR(IF($D16="","",SUMIF('Pre-Test Entry'!$C$3:$AQ$3,Settings!$A$33,'Pre-Test Entry'!$C16:$AQ16)/Settings!$C$33),"")</f>
        <v/>
      </c>
      <c r="U16" s="37">
        <f>IFERROR(IF($D16="","",SUMIF('Pre-Test Entry'!$C$3:$AQ$3,Settings!$A$34,'Pre-Test Entry'!$C16:$AQ16)/Settings!$C$34),"")</f>
        <v/>
      </c>
      <c r="V16" s="37">
        <f>IFERROR(IF($G16="","",SUMIF('Post-Test Entry'!$C$3:$AQ$3,Settings!$A$28,'Post-Test Entry'!$C16:$AQ16)/Settings!$C$28),"")</f>
        <v/>
      </c>
      <c r="W16" s="37">
        <f>IFERROR(IF($G16="","",SUMIF('Post-Test Entry'!$C$3:$AQ$3,Settings!$A$29,'Post-Test Entry'!$C16:$AQ16)/Settings!$C$29),"")</f>
        <v/>
      </c>
      <c r="X16" s="37">
        <f>IFERROR(IF($G16="","",SUMIF('Post-Test Entry'!$C$3:$AQ$3,Settings!$A$30,'Post-Test Entry'!$C16:$AQ16)/Settings!$C$30),"")</f>
        <v/>
      </c>
      <c r="Y16" s="37">
        <f>IFERROR(IF($G16="","",SUMIF('Post-Test Entry'!$C$3:$AQ$3,Settings!$A$31,'Post-Test Entry'!$C16:$AQ16)/Settings!$C$31),"")</f>
        <v/>
      </c>
      <c r="Z16" s="37">
        <f>IFERROR(IF($G16="","",SUMIF('Post-Test Entry'!$C$3:$AQ$3,Settings!$A$32,'Post-Test Entry'!$C16:$AQ16)/Settings!$C$32),"")</f>
        <v/>
      </c>
      <c r="AA16" s="37">
        <f>IFERROR(IF($G16="","",SUMIF('Post-Test Entry'!$C$3:$AQ$3,Settings!$A$33,'Post-Test Entry'!$C16:$AQ16)/Settings!$C$33),"")</f>
        <v/>
      </c>
      <c r="AB16" s="37">
        <f>IFERROR(IF($G16="","",SUMIF('Post-Test Entry'!$C$3:$AQ$3,Settings!$A$34,'Post-Test Entry'!$C16:$AQ16)/Settings!$C$34),"")</f>
        <v/>
      </c>
      <c r="AC16" s="37">
        <f>IF(OR(O16="",V16=""),"",V16-O16)</f>
        <v/>
      </c>
      <c r="AD16" s="37">
        <f>IF(OR(P16="",W16=""),"",W16-P16)</f>
        <v/>
      </c>
      <c r="AE16" s="37">
        <f>IF(OR(Q16="",X16=""),"",X16-Q16)</f>
        <v/>
      </c>
      <c r="AF16" s="37">
        <f>IF(OR(R16="",Y16=""),"",Y16-R16)</f>
        <v/>
      </c>
      <c r="AG16" s="37">
        <f>IF(OR(S16="",Z16=""),"",Z16-S16)</f>
        <v/>
      </c>
      <c r="AH16" s="37">
        <f>IF(OR(T16="",AA16=""),"",AA16-T16)</f>
        <v/>
      </c>
      <c r="AI16" s="37">
        <f>IF(OR(U16="",AB16=""),"",AB16-U16)</f>
        <v/>
      </c>
      <c r="AJ16" s="30">
        <f>IFERROR(IF($G16&lt;&gt;"",INDEX($V$4:$AB$4,MATCH(MIN($V16:$AB16),$V16:$AB16,0)),IF($D16&lt;&gt;"",INDEX($O$4:$U$4,MATCH(MIN($O16:$U16),$O16:$U16,0)),"")),"")</f>
        <v/>
      </c>
      <c r="AK16" s="30">
        <f>IFERROR(IF($G16&lt;&gt;"",INDEX($V$4:$AB$4,MATCH(SMALL($V16:$AB16,2),$V16:$AB16,0)),IF($D16&lt;&gt;"",INDEX($O$4:$U$4,MATCH(SMALL($O16:$U16,2),$O16:$U16,0)),"")),"")</f>
        <v/>
      </c>
      <c r="AL16" s="30">
        <f>IF(OR(G16="",Settings!$B$17=""),"",IF(OR(ABS(G16-Settings!$B$5)&lt;=Settings!$B$17,ABS(G16-Settings!$B$6)&lt;=Settings!$B$17,ABS(G16-Settings!$B$7)&lt;=Settings!$B$17),"NEAR CUT",""))</f>
        <v/>
      </c>
      <c r="AM16" s="31">
        <f>IF('Post-Test Entry'!$AR16&lt;&gt;"","Post essay: code "&amp;'Post-Test Entry'!$AR16,IF('Pre-Test Entry'!$AR16&lt;&gt;"","Pre essay: code "&amp;'Pre-Test Entry'!$AR16,""))</f>
        <v/>
      </c>
      <c r="AN16" s="39">
        <f>IFERROR(IF($AJ16="","",INDEX(Settings!$D$28:$D$34,MATCH($AJ16,Settings!$A$28:$A$34,0))),"")</f>
        <v/>
      </c>
      <c r="AP16">
        <f>IF(D16="","",D16^2)</f>
        <v/>
      </c>
      <c r="AQ16">
        <f>IF(G16="","",G16^2)</f>
        <v/>
      </c>
    </row>
    <row r="17">
      <c r="A17" s="30">
        <f>IF(Roster!$A17="","",Roster!$A17)</f>
        <v/>
      </c>
      <c r="B17" s="31">
        <f>IF(Roster!$B17&lt;&gt;"",Roster!$C17&amp;" "&amp;Roster!$B17,"")</f>
        <v/>
      </c>
      <c r="C17" s="30">
        <f>IF(Roster!$B17&lt;&gt;"",Roster!$D17,"")</f>
        <v/>
      </c>
      <c r="D17" s="16">
        <f>IF(AND(Roster!$B17&lt;&gt;"",COUNT('Pre-Test Entry'!$C17:$AQ17)&gt;0),'Pre-Test Entry'!$AS17,"")</f>
        <v/>
      </c>
      <c r="E17" s="37">
        <f>IFERROR(D17/Settings!$B$8,"")</f>
        <v/>
      </c>
      <c r="F17" s="31">
        <f>IF(D17="","",IF(D17&gt;=Settings!$B$7,"Distinguished Learner",IF(D17&gt;=Settings!$B$6,"Proficient Learner",IF(D17&gt;=Settings!$B$5,"Developing Learner","Beginning Learner"))))</f>
        <v/>
      </c>
      <c r="G17" s="16">
        <f>IF(AND(Roster!$B17&lt;&gt;"",COUNT('Post-Test Entry'!$C17:$AQ17)&gt;0),'Post-Test Entry'!$AS17,"")</f>
        <v/>
      </c>
      <c r="H17" s="37">
        <f>IFERROR(G17/Settings!$B$8,"")</f>
        <v/>
      </c>
      <c r="I17" s="31">
        <f>IF(G17="","",IF(G17&gt;=Settings!$B$7,"Distinguished Learner",IF(G17&gt;=Settings!$B$6,"Proficient Learner",IF(G17&gt;=Settings!$B$5,"Developing Learner","Beginning Learner"))))</f>
        <v/>
      </c>
      <c r="J17" s="16">
        <f>IF(OR(D17="",G17=""),"",G17-D17)</f>
        <v/>
      </c>
      <c r="K17" s="37">
        <f>IFERROR(IF(OR(J17="",J17&lt;=0),"",(G17-D17)/(Settings!$B$8-D17)),"")</f>
        <v/>
      </c>
      <c r="L17" s="38">
        <f>IFERROR(IF(J17="","",(G17-D17)/(Settings!$B$17*SQRT(2))),"")</f>
        <v/>
      </c>
      <c r="M17" s="30">
        <f>IF(L17="","",IF(ABS(L17)&gt;=1.96,"Yes","No"))</f>
        <v/>
      </c>
      <c r="N17" s="30">
        <f>IF(J17="","",IF(J17&gt;=Settings!$B$15,"Yes","No"))</f>
        <v/>
      </c>
      <c r="O17" s="37">
        <f>IFERROR(IF($D17="","",SUMIF('Pre-Test Entry'!$C$3:$AQ$3,Settings!$A$28,'Pre-Test Entry'!$C17:$AQ17)/Settings!$C$28),"")</f>
        <v/>
      </c>
      <c r="P17" s="37">
        <f>IFERROR(IF($D17="","",SUMIF('Pre-Test Entry'!$C$3:$AQ$3,Settings!$A$29,'Pre-Test Entry'!$C17:$AQ17)/Settings!$C$29),"")</f>
        <v/>
      </c>
      <c r="Q17" s="37">
        <f>IFERROR(IF($D17="","",SUMIF('Pre-Test Entry'!$C$3:$AQ$3,Settings!$A$30,'Pre-Test Entry'!$C17:$AQ17)/Settings!$C$30),"")</f>
        <v/>
      </c>
      <c r="R17" s="37">
        <f>IFERROR(IF($D17="","",SUMIF('Pre-Test Entry'!$C$3:$AQ$3,Settings!$A$31,'Pre-Test Entry'!$C17:$AQ17)/Settings!$C$31),"")</f>
        <v/>
      </c>
      <c r="S17" s="37">
        <f>IFERROR(IF($D17="","",SUMIF('Pre-Test Entry'!$C$3:$AQ$3,Settings!$A$32,'Pre-Test Entry'!$C17:$AQ17)/Settings!$C$32),"")</f>
        <v/>
      </c>
      <c r="T17" s="37">
        <f>IFERROR(IF($D17="","",SUMIF('Pre-Test Entry'!$C$3:$AQ$3,Settings!$A$33,'Pre-Test Entry'!$C17:$AQ17)/Settings!$C$33),"")</f>
        <v/>
      </c>
      <c r="U17" s="37">
        <f>IFERROR(IF($D17="","",SUMIF('Pre-Test Entry'!$C$3:$AQ$3,Settings!$A$34,'Pre-Test Entry'!$C17:$AQ17)/Settings!$C$34),"")</f>
        <v/>
      </c>
      <c r="V17" s="37">
        <f>IFERROR(IF($G17="","",SUMIF('Post-Test Entry'!$C$3:$AQ$3,Settings!$A$28,'Post-Test Entry'!$C17:$AQ17)/Settings!$C$28),"")</f>
        <v/>
      </c>
      <c r="W17" s="37">
        <f>IFERROR(IF($G17="","",SUMIF('Post-Test Entry'!$C$3:$AQ$3,Settings!$A$29,'Post-Test Entry'!$C17:$AQ17)/Settings!$C$29),"")</f>
        <v/>
      </c>
      <c r="X17" s="37">
        <f>IFERROR(IF($G17="","",SUMIF('Post-Test Entry'!$C$3:$AQ$3,Settings!$A$30,'Post-Test Entry'!$C17:$AQ17)/Settings!$C$30),"")</f>
        <v/>
      </c>
      <c r="Y17" s="37">
        <f>IFERROR(IF($G17="","",SUMIF('Post-Test Entry'!$C$3:$AQ$3,Settings!$A$31,'Post-Test Entry'!$C17:$AQ17)/Settings!$C$31),"")</f>
        <v/>
      </c>
      <c r="Z17" s="37">
        <f>IFERROR(IF($G17="","",SUMIF('Post-Test Entry'!$C$3:$AQ$3,Settings!$A$32,'Post-Test Entry'!$C17:$AQ17)/Settings!$C$32),"")</f>
        <v/>
      </c>
      <c r="AA17" s="37">
        <f>IFERROR(IF($G17="","",SUMIF('Post-Test Entry'!$C$3:$AQ$3,Settings!$A$33,'Post-Test Entry'!$C17:$AQ17)/Settings!$C$33),"")</f>
        <v/>
      </c>
      <c r="AB17" s="37">
        <f>IFERROR(IF($G17="","",SUMIF('Post-Test Entry'!$C$3:$AQ$3,Settings!$A$34,'Post-Test Entry'!$C17:$AQ17)/Settings!$C$34),"")</f>
        <v/>
      </c>
      <c r="AC17" s="37">
        <f>IF(OR(O17="",V17=""),"",V17-O17)</f>
        <v/>
      </c>
      <c r="AD17" s="37">
        <f>IF(OR(P17="",W17=""),"",W17-P17)</f>
        <v/>
      </c>
      <c r="AE17" s="37">
        <f>IF(OR(Q17="",X17=""),"",X17-Q17)</f>
        <v/>
      </c>
      <c r="AF17" s="37">
        <f>IF(OR(R17="",Y17=""),"",Y17-R17)</f>
        <v/>
      </c>
      <c r="AG17" s="37">
        <f>IF(OR(S17="",Z17=""),"",Z17-S17)</f>
        <v/>
      </c>
      <c r="AH17" s="37">
        <f>IF(OR(T17="",AA17=""),"",AA17-T17)</f>
        <v/>
      </c>
      <c r="AI17" s="37">
        <f>IF(OR(U17="",AB17=""),"",AB17-U17)</f>
        <v/>
      </c>
      <c r="AJ17" s="30">
        <f>IFERROR(IF($G17&lt;&gt;"",INDEX($V$4:$AB$4,MATCH(MIN($V17:$AB17),$V17:$AB17,0)),IF($D17&lt;&gt;"",INDEX($O$4:$U$4,MATCH(MIN($O17:$U17),$O17:$U17,0)),"")),"")</f>
        <v/>
      </c>
      <c r="AK17" s="30">
        <f>IFERROR(IF($G17&lt;&gt;"",INDEX($V$4:$AB$4,MATCH(SMALL($V17:$AB17,2),$V17:$AB17,0)),IF($D17&lt;&gt;"",INDEX($O$4:$U$4,MATCH(SMALL($O17:$U17,2),$O17:$U17,0)),"")),"")</f>
        <v/>
      </c>
      <c r="AL17" s="30">
        <f>IF(OR(G17="",Settings!$B$17=""),"",IF(OR(ABS(G17-Settings!$B$5)&lt;=Settings!$B$17,ABS(G17-Settings!$B$6)&lt;=Settings!$B$17,ABS(G17-Settings!$B$7)&lt;=Settings!$B$17),"NEAR CUT",""))</f>
        <v/>
      </c>
      <c r="AM17" s="31">
        <f>IF('Post-Test Entry'!$AR17&lt;&gt;"","Post essay: code "&amp;'Post-Test Entry'!$AR17,IF('Pre-Test Entry'!$AR17&lt;&gt;"","Pre essay: code "&amp;'Pre-Test Entry'!$AR17,""))</f>
        <v/>
      </c>
      <c r="AN17" s="39">
        <f>IFERROR(IF($AJ17="","",INDEX(Settings!$D$28:$D$34,MATCH($AJ17,Settings!$A$28:$A$34,0))),"")</f>
        <v/>
      </c>
      <c r="AP17">
        <f>IF(D17="","",D17^2)</f>
        <v/>
      </c>
      <c r="AQ17">
        <f>IF(G17="","",G17^2)</f>
        <v/>
      </c>
    </row>
    <row r="18">
      <c r="A18" s="30">
        <f>IF(Roster!$A18="","",Roster!$A18)</f>
        <v/>
      </c>
      <c r="B18" s="31">
        <f>IF(Roster!$B18&lt;&gt;"",Roster!$C18&amp;" "&amp;Roster!$B18,"")</f>
        <v/>
      </c>
      <c r="C18" s="30">
        <f>IF(Roster!$B18&lt;&gt;"",Roster!$D18,"")</f>
        <v/>
      </c>
      <c r="D18" s="16">
        <f>IF(AND(Roster!$B18&lt;&gt;"",COUNT('Pre-Test Entry'!$C18:$AQ18)&gt;0),'Pre-Test Entry'!$AS18,"")</f>
        <v/>
      </c>
      <c r="E18" s="37">
        <f>IFERROR(D18/Settings!$B$8,"")</f>
        <v/>
      </c>
      <c r="F18" s="31">
        <f>IF(D18="","",IF(D18&gt;=Settings!$B$7,"Distinguished Learner",IF(D18&gt;=Settings!$B$6,"Proficient Learner",IF(D18&gt;=Settings!$B$5,"Developing Learner","Beginning Learner"))))</f>
        <v/>
      </c>
      <c r="G18" s="16">
        <f>IF(AND(Roster!$B18&lt;&gt;"",COUNT('Post-Test Entry'!$C18:$AQ18)&gt;0),'Post-Test Entry'!$AS18,"")</f>
        <v/>
      </c>
      <c r="H18" s="37">
        <f>IFERROR(G18/Settings!$B$8,"")</f>
        <v/>
      </c>
      <c r="I18" s="31">
        <f>IF(G18="","",IF(G18&gt;=Settings!$B$7,"Distinguished Learner",IF(G18&gt;=Settings!$B$6,"Proficient Learner",IF(G18&gt;=Settings!$B$5,"Developing Learner","Beginning Learner"))))</f>
        <v/>
      </c>
      <c r="J18" s="16">
        <f>IF(OR(D18="",G18=""),"",G18-D18)</f>
        <v/>
      </c>
      <c r="K18" s="37">
        <f>IFERROR(IF(OR(J18="",J18&lt;=0),"",(G18-D18)/(Settings!$B$8-D18)),"")</f>
        <v/>
      </c>
      <c r="L18" s="38">
        <f>IFERROR(IF(J18="","",(G18-D18)/(Settings!$B$17*SQRT(2))),"")</f>
        <v/>
      </c>
      <c r="M18" s="30">
        <f>IF(L18="","",IF(ABS(L18)&gt;=1.96,"Yes","No"))</f>
        <v/>
      </c>
      <c r="N18" s="30">
        <f>IF(J18="","",IF(J18&gt;=Settings!$B$15,"Yes","No"))</f>
        <v/>
      </c>
      <c r="O18" s="37">
        <f>IFERROR(IF($D18="","",SUMIF('Pre-Test Entry'!$C$3:$AQ$3,Settings!$A$28,'Pre-Test Entry'!$C18:$AQ18)/Settings!$C$28),"")</f>
        <v/>
      </c>
      <c r="P18" s="37">
        <f>IFERROR(IF($D18="","",SUMIF('Pre-Test Entry'!$C$3:$AQ$3,Settings!$A$29,'Pre-Test Entry'!$C18:$AQ18)/Settings!$C$29),"")</f>
        <v/>
      </c>
      <c r="Q18" s="37">
        <f>IFERROR(IF($D18="","",SUMIF('Pre-Test Entry'!$C$3:$AQ$3,Settings!$A$30,'Pre-Test Entry'!$C18:$AQ18)/Settings!$C$30),"")</f>
        <v/>
      </c>
      <c r="R18" s="37">
        <f>IFERROR(IF($D18="","",SUMIF('Pre-Test Entry'!$C$3:$AQ$3,Settings!$A$31,'Pre-Test Entry'!$C18:$AQ18)/Settings!$C$31),"")</f>
        <v/>
      </c>
      <c r="S18" s="37">
        <f>IFERROR(IF($D18="","",SUMIF('Pre-Test Entry'!$C$3:$AQ$3,Settings!$A$32,'Pre-Test Entry'!$C18:$AQ18)/Settings!$C$32),"")</f>
        <v/>
      </c>
      <c r="T18" s="37">
        <f>IFERROR(IF($D18="","",SUMIF('Pre-Test Entry'!$C$3:$AQ$3,Settings!$A$33,'Pre-Test Entry'!$C18:$AQ18)/Settings!$C$33),"")</f>
        <v/>
      </c>
      <c r="U18" s="37">
        <f>IFERROR(IF($D18="","",SUMIF('Pre-Test Entry'!$C$3:$AQ$3,Settings!$A$34,'Pre-Test Entry'!$C18:$AQ18)/Settings!$C$34),"")</f>
        <v/>
      </c>
      <c r="V18" s="37">
        <f>IFERROR(IF($G18="","",SUMIF('Post-Test Entry'!$C$3:$AQ$3,Settings!$A$28,'Post-Test Entry'!$C18:$AQ18)/Settings!$C$28),"")</f>
        <v/>
      </c>
      <c r="W18" s="37">
        <f>IFERROR(IF($G18="","",SUMIF('Post-Test Entry'!$C$3:$AQ$3,Settings!$A$29,'Post-Test Entry'!$C18:$AQ18)/Settings!$C$29),"")</f>
        <v/>
      </c>
      <c r="X18" s="37">
        <f>IFERROR(IF($G18="","",SUMIF('Post-Test Entry'!$C$3:$AQ$3,Settings!$A$30,'Post-Test Entry'!$C18:$AQ18)/Settings!$C$30),"")</f>
        <v/>
      </c>
      <c r="Y18" s="37">
        <f>IFERROR(IF($G18="","",SUMIF('Post-Test Entry'!$C$3:$AQ$3,Settings!$A$31,'Post-Test Entry'!$C18:$AQ18)/Settings!$C$31),"")</f>
        <v/>
      </c>
      <c r="Z18" s="37">
        <f>IFERROR(IF($G18="","",SUMIF('Post-Test Entry'!$C$3:$AQ$3,Settings!$A$32,'Post-Test Entry'!$C18:$AQ18)/Settings!$C$32),"")</f>
        <v/>
      </c>
      <c r="AA18" s="37">
        <f>IFERROR(IF($G18="","",SUMIF('Post-Test Entry'!$C$3:$AQ$3,Settings!$A$33,'Post-Test Entry'!$C18:$AQ18)/Settings!$C$33),"")</f>
        <v/>
      </c>
      <c r="AB18" s="37">
        <f>IFERROR(IF($G18="","",SUMIF('Post-Test Entry'!$C$3:$AQ$3,Settings!$A$34,'Post-Test Entry'!$C18:$AQ18)/Settings!$C$34),"")</f>
        <v/>
      </c>
      <c r="AC18" s="37">
        <f>IF(OR(O18="",V18=""),"",V18-O18)</f>
        <v/>
      </c>
      <c r="AD18" s="37">
        <f>IF(OR(P18="",W18=""),"",W18-P18)</f>
        <v/>
      </c>
      <c r="AE18" s="37">
        <f>IF(OR(Q18="",X18=""),"",X18-Q18)</f>
        <v/>
      </c>
      <c r="AF18" s="37">
        <f>IF(OR(R18="",Y18=""),"",Y18-R18)</f>
        <v/>
      </c>
      <c r="AG18" s="37">
        <f>IF(OR(S18="",Z18=""),"",Z18-S18)</f>
        <v/>
      </c>
      <c r="AH18" s="37">
        <f>IF(OR(T18="",AA18=""),"",AA18-T18)</f>
        <v/>
      </c>
      <c r="AI18" s="37">
        <f>IF(OR(U18="",AB18=""),"",AB18-U18)</f>
        <v/>
      </c>
      <c r="AJ18" s="30">
        <f>IFERROR(IF($G18&lt;&gt;"",INDEX($V$4:$AB$4,MATCH(MIN($V18:$AB18),$V18:$AB18,0)),IF($D18&lt;&gt;"",INDEX($O$4:$U$4,MATCH(MIN($O18:$U18),$O18:$U18,0)),"")),"")</f>
        <v/>
      </c>
      <c r="AK18" s="30">
        <f>IFERROR(IF($G18&lt;&gt;"",INDEX($V$4:$AB$4,MATCH(SMALL($V18:$AB18,2),$V18:$AB18,0)),IF($D18&lt;&gt;"",INDEX($O$4:$U$4,MATCH(SMALL($O18:$U18,2),$O18:$U18,0)),"")),"")</f>
        <v/>
      </c>
      <c r="AL18" s="30">
        <f>IF(OR(G18="",Settings!$B$17=""),"",IF(OR(ABS(G18-Settings!$B$5)&lt;=Settings!$B$17,ABS(G18-Settings!$B$6)&lt;=Settings!$B$17,ABS(G18-Settings!$B$7)&lt;=Settings!$B$17),"NEAR CUT",""))</f>
        <v/>
      </c>
      <c r="AM18" s="31">
        <f>IF('Post-Test Entry'!$AR18&lt;&gt;"","Post essay: code "&amp;'Post-Test Entry'!$AR18,IF('Pre-Test Entry'!$AR18&lt;&gt;"","Pre essay: code "&amp;'Pre-Test Entry'!$AR18,""))</f>
        <v/>
      </c>
      <c r="AN18" s="39">
        <f>IFERROR(IF($AJ18="","",INDEX(Settings!$D$28:$D$34,MATCH($AJ18,Settings!$A$28:$A$34,0))),"")</f>
        <v/>
      </c>
      <c r="AP18">
        <f>IF(D18="","",D18^2)</f>
        <v/>
      </c>
      <c r="AQ18">
        <f>IF(G18="","",G18^2)</f>
        <v/>
      </c>
    </row>
    <row r="19">
      <c r="A19" s="30">
        <f>IF(Roster!$A19="","",Roster!$A19)</f>
        <v/>
      </c>
      <c r="B19" s="31">
        <f>IF(Roster!$B19&lt;&gt;"",Roster!$C19&amp;" "&amp;Roster!$B19,"")</f>
        <v/>
      </c>
      <c r="C19" s="30">
        <f>IF(Roster!$B19&lt;&gt;"",Roster!$D19,"")</f>
        <v/>
      </c>
      <c r="D19" s="16">
        <f>IF(AND(Roster!$B19&lt;&gt;"",COUNT('Pre-Test Entry'!$C19:$AQ19)&gt;0),'Pre-Test Entry'!$AS19,"")</f>
        <v/>
      </c>
      <c r="E19" s="37">
        <f>IFERROR(D19/Settings!$B$8,"")</f>
        <v/>
      </c>
      <c r="F19" s="31">
        <f>IF(D19="","",IF(D19&gt;=Settings!$B$7,"Distinguished Learner",IF(D19&gt;=Settings!$B$6,"Proficient Learner",IF(D19&gt;=Settings!$B$5,"Developing Learner","Beginning Learner"))))</f>
        <v/>
      </c>
      <c r="G19" s="16">
        <f>IF(AND(Roster!$B19&lt;&gt;"",COUNT('Post-Test Entry'!$C19:$AQ19)&gt;0),'Post-Test Entry'!$AS19,"")</f>
        <v/>
      </c>
      <c r="H19" s="37">
        <f>IFERROR(G19/Settings!$B$8,"")</f>
        <v/>
      </c>
      <c r="I19" s="31">
        <f>IF(G19="","",IF(G19&gt;=Settings!$B$7,"Distinguished Learner",IF(G19&gt;=Settings!$B$6,"Proficient Learner",IF(G19&gt;=Settings!$B$5,"Developing Learner","Beginning Learner"))))</f>
        <v/>
      </c>
      <c r="J19" s="16">
        <f>IF(OR(D19="",G19=""),"",G19-D19)</f>
        <v/>
      </c>
      <c r="K19" s="37">
        <f>IFERROR(IF(OR(J19="",J19&lt;=0),"",(G19-D19)/(Settings!$B$8-D19)),"")</f>
        <v/>
      </c>
      <c r="L19" s="38">
        <f>IFERROR(IF(J19="","",(G19-D19)/(Settings!$B$17*SQRT(2))),"")</f>
        <v/>
      </c>
      <c r="M19" s="30">
        <f>IF(L19="","",IF(ABS(L19)&gt;=1.96,"Yes","No"))</f>
        <v/>
      </c>
      <c r="N19" s="30">
        <f>IF(J19="","",IF(J19&gt;=Settings!$B$15,"Yes","No"))</f>
        <v/>
      </c>
      <c r="O19" s="37">
        <f>IFERROR(IF($D19="","",SUMIF('Pre-Test Entry'!$C$3:$AQ$3,Settings!$A$28,'Pre-Test Entry'!$C19:$AQ19)/Settings!$C$28),"")</f>
        <v/>
      </c>
      <c r="P19" s="37">
        <f>IFERROR(IF($D19="","",SUMIF('Pre-Test Entry'!$C$3:$AQ$3,Settings!$A$29,'Pre-Test Entry'!$C19:$AQ19)/Settings!$C$29),"")</f>
        <v/>
      </c>
      <c r="Q19" s="37">
        <f>IFERROR(IF($D19="","",SUMIF('Pre-Test Entry'!$C$3:$AQ$3,Settings!$A$30,'Pre-Test Entry'!$C19:$AQ19)/Settings!$C$30),"")</f>
        <v/>
      </c>
      <c r="R19" s="37">
        <f>IFERROR(IF($D19="","",SUMIF('Pre-Test Entry'!$C$3:$AQ$3,Settings!$A$31,'Pre-Test Entry'!$C19:$AQ19)/Settings!$C$31),"")</f>
        <v/>
      </c>
      <c r="S19" s="37">
        <f>IFERROR(IF($D19="","",SUMIF('Pre-Test Entry'!$C$3:$AQ$3,Settings!$A$32,'Pre-Test Entry'!$C19:$AQ19)/Settings!$C$32),"")</f>
        <v/>
      </c>
      <c r="T19" s="37">
        <f>IFERROR(IF($D19="","",SUMIF('Pre-Test Entry'!$C$3:$AQ$3,Settings!$A$33,'Pre-Test Entry'!$C19:$AQ19)/Settings!$C$33),"")</f>
        <v/>
      </c>
      <c r="U19" s="37">
        <f>IFERROR(IF($D19="","",SUMIF('Pre-Test Entry'!$C$3:$AQ$3,Settings!$A$34,'Pre-Test Entry'!$C19:$AQ19)/Settings!$C$34),"")</f>
        <v/>
      </c>
      <c r="V19" s="37">
        <f>IFERROR(IF($G19="","",SUMIF('Post-Test Entry'!$C$3:$AQ$3,Settings!$A$28,'Post-Test Entry'!$C19:$AQ19)/Settings!$C$28),"")</f>
        <v/>
      </c>
      <c r="W19" s="37">
        <f>IFERROR(IF($G19="","",SUMIF('Post-Test Entry'!$C$3:$AQ$3,Settings!$A$29,'Post-Test Entry'!$C19:$AQ19)/Settings!$C$29),"")</f>
        <v/>
      </c>
      <c r="X19" s="37">
        <f>IFERROR(IF($G19="","",SUMIF('Post-Test Entry'!$C$3:$AQ$3,Settings!$A$30,'Post-Test Entry'!$C19:$AQ19)/Settings!$C$30),"")</f>
        <v/>
      </c>
      <c r="Y19" s="37">
        <f>IFERROR(IF($G19="","",SUMIF('Post-Test Entry'!$C$3:$AQ$3,Settings!$A$31,'Post-Test Entry'!$C19:$AQ19)/Settings!$C$31),"")</f>
        <v/>
      </c>
      <c r="Z19" s="37">
        <f>IFERROR(IF($G19="","",SUMIF('Post-Test Entry'!$C$3:$AQ$3,Settings!$A$32,'Post-Test Entry'!$C19:$AQ19)/Settings!$C$32),"")</f>
        <v/>
      </c>
      <c r="AA19" s="37">
        <f>IFERROR(IF($G19="","",SUMIF('Post-Test Entry'!$C$3:$AQ$3,Settings!$A$33,'Post-Test Entry'!$C19:$AQ19)/Settings!$C$33),"")</f>
        <v/>
      </c>
      <c r="AB19" s="37">
        <f>IFERROR(IF($G19="","",SUMIF('Post-Test Entry'!$C$3:$AQ$3,Settings!$A$34,'Post-Test Entry'!$C19:$AQ19)/Settings!$C$34),"")</f>
        <v/>
      </c>
      <c r="AC19" s="37">
        <f>IF(OR(O19="",V19=""),"",V19-O19)</f>
        <v/>
      </c>
      <c r="AD19" s="37">
        <f>IF(OR(P19="",W19=""),"",W19-P19)</f>
        <v/>
      </c>
      <c r="AE19" s="37">
        <f>IF(OR(Q19="",X19=""),"",X19-Q19)</f>
        <v/>
      </c>
      <c r="AF19" s="37">
        <f>IF(OR(R19="",Y19=""),"",Y19-R19)</f>
        <v/>
      </c>
      <c r="AG19" s="37">
        <f>IF(OR(S19="",Z19=""),"",Z19-S19)</f>
        <v/>
      </c>
      <c r="AH19" s="37">
        <f>IF(OR(T19="",AA19=""),"",AA19-T19)</f>
        <v/>
      </c>
      <c r="AI19" s="37">
        <f>IF(OR(U19="",AB19=""),"",AB19-U19)</f>
        <v/>
      </c>
      <c r="AJ19" s="30">
        <f>IFERROR(IF($G19&lt;&gt;"",INDEX($V$4:$AB$4,MATCH(MIN($V19:$AB19),$V19:$AB19,0)),IF($D19&lt;&gt;"",INDEX($O$4:$U$4,MATCH(MIN($O19:$U19),$O19:$U19,0)),"")),"")</f>
        <v/>
      </c>
      <c r="AK19" s="30">
        <f>IFERROR(IF($G19&lt;&gt;"",INDEX($V$4:$AB$4,MATCH(SMALL($V19:$AB19,2),$V19:$AB19,0)),IF($D19&lt;&gt;"",INDEX($O$4:$U$4,MATCH(SMALL($O19:$U19,2),$O19:$U19,0)),"")),"")</f>
        <v/>
      </c>
      <c r="AL19" s="30">
        <f>IF(OR(G19="",Settings!$B$17=""),"",IF(OR(ABS(G19-Settings!$B$5)&lt;=Settings!$B$17,ABS(G19-Settings!$B$6)&lt;=Settings!$B$17,ABS(G19-Settings!$B$7)&lt;=Settings!$B$17),"NEAR CUT",""))</f>
        <v/>
      </c>
      <c r="AM19" s="31">
        <f>IF('Post-Test Entry'!$AR19&lt;&gt;"","Post essay: code "&amp;'Post-Test Entry'!$AR19,IF('Pre-Test Entry'!$AR19&lt;&gt;"","Pre essay: code "&amp;'Pre-Test Entry'!$AR19,""))</f>
        <v/>
      </c>
      <c r="AN19" s="39">
        <f>IFERROR(IF($AJ19="","",INDEX(Settings!$D$28:$D$34,MATCH($AJ19,Settings!$A$28:$A$34,0))),"")</f>
        <v/>
      </c>
      <c r="AP19">
        <f>IF(D19="","",D19^2)</f>
        <v/>
      </c>
      <c r="AQ19">
        <f>IF(G19="","",G19^2)</f>
        <v/>
      </c>
    </row>
    <row r="20">
      <c r="A20" s="30">
        <f>IF(Roster!$A20="","",Roster!$A20)</f>
        <v/>
      </c>
      <c r="B20" s="31">
        <f>IF(Roster!$B20&lt;&gt;"",Roster!$C20&amp;" "&amp;Roster!$B20,"")</f>
        <v/>
      </c>
      <c r="C20" s="30">
        <f>IF(Roster!$B20&lt;&gt;"",Roster!$D20,"")</f>
        <v/>
      </c>
      <c r="D20" s="16">
        <f>IF(AND(Roster!$B20&lt;&gt;"",COUNT('Pre-Test Entry'!$C20:$AQ20)&gt;0),'Pre-Test Entry'!$AS20,"")</f>
        <v/>
      </c>
      <c r="E20" s="37">
        <f>IFERROR(D20/Settings!$B$8,"")</f>
        <v/>
      </c>
      <c r="F20" s="31">
        <f>IF(D20="","",IF(D20&gt;=Settings!$B$7,"Distinguished Learner",IF(D20&gt;=Settings!$B$6,"Proficient Learner",IF(D20&gt;=Settings!$B$5,"Developing Learner","Beginning Learner"))))</f>
        <v/>
      </c>
      <c r="G20" s="16">
        <f>IF(AND(Roster!$B20&lt;&gt;"",COUNT('Post-Test Entry'!$C20:$AQ20)&gt;0),'Post-Test Entry'!$AS20,"")</f>
        <v/>
      </c>
      <c r="H20" s="37">
        <f>IFERROR(G20/Settings!$B$8,"")</f>
        <v/>
      </c>
      <c r="I20" s="31">
        <f>IF(G20="","",IF(G20&gt;=Settings!$B$7,"Distinguished Learner",IF(G20&gt;=Settings!$B$6,"Proficient Learner",IF(G20&gt;=Settings!$B$5,"Developing Learner","Beginning Learner"))))</f>
        <v/>
      </c>
      <c r="J20" s="16">
        <f>IF(OR(D20="",G20=""),"",G20-D20)</f>
        <v/>
      </c>
      <c r="K20" s="37">
        <f>IFERROR(IF(OR(J20="",J20&lt;=0),"",(G20-D20)/(Settings!$B$8-D20)),"")</f>
        <v/>
      </c>
      <c r="L20" s="38">
        <f>IFERROR(IF(J20="","",(G20-D20)/(Settings!$B$17*SQRT(2))),"")</f>
        <v/>
      </c>
      <c r="M20" s="30">
        <f>IF(L20="","",IF(ABS(L20)&gt;=1.96,"Yes","No"))</f>
        <v/>
      </c>
      <c r="N20" s="30">
        <f>IF(J20="","",IF(J20&gt;=Settings!$B$15,"Yes","No"))</f>
        <v/>
      </c>
      <c r="O20" s="37">
        <f>IFERROR(IF($D20="","",SUMIF('Pre-Test Entry'!$C$3:$AQ$3,Settings!$A$28,'Pre-Test Entry'!$C20:$AQ20)/Settings!$C$28),"")</f>
        <v/>
      </c>
      <c r="P20" s="37">
        <f>IFERROR(IF($D20="","",SUMIF('Pre-Test Entry'!$C$3:$AQ$3,Settings!$A$29,'Pre-Test Entry'!$C20:$AQ20)/Settings!$C$29),"")</f>
        <v/>
      </c>
      <c r="Q20" s="37">
        <f>IFERROR(IF($D20="","",SUMIF('Pre-Test Entry'!$C$3:$AQ$3,Settings!$A$30,'Pre-Test Entry'!$C20:$AQ20)/Settings!$C$30),"")</f>
        <v/>
      </c>
      <c r="R20" s="37">
        <f>IFERROR(IF($D20="","",SUMIF('Pre-Test Entry'!$C$3:$AQ$3,Settings!$A$31,'Pre-Test Entry'!$C20:$AQ20)/Settings!$C$31),"")</f>
        <v/>
      </c>
      <c r="S20" s="37">
        <f>IFERROR(IF($D20="","",SUMIF('Pre-Test Entry'!$C$3:$AQ$3,Settings!$A$32,'Pre-Test Entry'!$C20:$AQ20)/Settings!$C$32),"")</f>
        <v/>
      </c>
      <c r="T20" s="37">
        <f>IFERROR(IF($D20="","",SUMIF('Pre-Test Entry'!$C$3:$AQ$3,Settings!$A$33,'Pre-Test Entry'!$C20:$AQ20)/Settings!$C$33),"")</f>
        <v/>
      </c>
      <c r="U20" s="37">
        <f>IFERROR(IF($D20="","",SUMIF('Pre-Test Entry'!$C$3:$AQ$3,Settings!$A$34,'Pre-Test Entry'!$C20:$AQ20)/Settings!$C$34),"")</f>
        <v/>
      </c>
      <c r="V20" s="37">
        <f>IFERROR(IF($G20="","",SUMIF('Post-Test Entry'!$C$3:$AQ$3,Settings!$A$28,'Post-Test Entry'!$C20:$AQ20)/Settings!$C$28),"")</f>
        <v/>
      </c>
      <c r="W20" s="37">
        <f>IFERROR(IF($G20="","",SUMIF('Post-Test Entry'!$C$3:$AQ$3,Settings!$A$29,'Post-Test Entry'!$C20:$AQ20)/Settings!$C$29),"")</f>
        <v/>
      </c>
      <c r="X20" s="37">
        <f>IFERROR(IF($G20="","",SUMIF('Post-Test Entry'!$C$3:$AQ$3,Settings!$A$30,'Post-Test Entry'!$C20:$AQ20)/Settings!$C$30),"")</f>
        <v/>
      </c>
      <c r="Y20" s="37">
        <f>IFERROR(IF($G20="","",SUMIF('Post-Test Entry'!$C$3:$AQ$3,Settings!$A$31,'Post-Test Entry'!$C20:$AQ20)/Settings!$C$31),"")</f>
        <v/>
      </c>
      <c r="Z20" s="37">
        <f>IFERROR(IF($G20="","",SUMIF('Post-Test Entry'!$C$3:$AQ$3,Settings!$A$32,'Post-Test Entry'!$C20:$AQ20)/Settings!$C$32),"")</f>
        <v/>
      </c>
      <c r="AA20" s="37">
        <f>IFERROR(IF($G20="","",SUMIF('Post-Test Entry'!$C$3:$AQ$3,Settings!$A$33,'Post-Test Entry'!$C20:$AQ20)/Settings!$C$33),"")</f>
        <v/>
      </c>
      <c r="AB20" s="37">
        <f>IFERROR(IF($G20="","",SUMIF('Post-Test Entry'!$C$3:$AQ$3,Settings!$A$34,'Post-Test Entry'!$C20:$AQ20)/Settings!$C$34),"")</f>
        <v/>
      </c>
      <c r="AC20" s="37">
        <f>IF(OR(O20="",V20=""),"",V20-O20)</f>
        <v/>
      </c>
      <c r="AD20" s="37">
        <f>IF(OR(P20="",W20=""),"",W20-P20)</f>
        <v/>
      </c>
      <c r="AE20" s="37">
        <f>IF(OR(Q20="",X20=""),"",X20-Q20)</f>
        <v/>
      </c>
      <c r="AF20" s="37">
        <f>IF(OR(R20="",Y20=""),"",Y20-R20)</f>
        <v/>
      </c>
      <c r="AG20" s="37">
        <f>IF(OR(S20="",Z20=""),"",Z20-S20)</f>
        <v/>
      </c>
      <c r="AH20" s="37">
        <f>IF(OR(T20="",AA20=""),"",AA20-T20)</f>
        <v/>
      </c>
      <c r="AI20" s="37">
        <f>IF(OR(U20="",AB20=""),"",AB20-U20)</f>
        <v/>
      </c>
      <c r="AJ20" s="30">
        <f>IFERROR(IF($G20&lt;&gt;"",INDEX($V$4:$AB$4,MATCH(MIN($V20:$AB20),$V20:$AB20,0)),IF($D20&lt;&gt;"",INDEX($O$4:$U$4,MATCH(MIN($O20:$U20),$O20:$U20,0)),"")),"")</f>
        <v/>
      </c>
      <c r="AK20" s="30">
        <f>IFERROR(IF($G20&lt;&gt;"",INDEX($V$4:$AB$4,MATCH(SMALL($V20:$AB20,2),$V20:$AB20,0)),IF($D20&lt;&gt;"",INDEX($O$4:$U$4,MATCH(SMALL($O20:$U20,2),$O20:$U20,0)),"")),"")</f>
        <v/>
      </c>
      <c r="AL20" s="30">
        <f>IF(OR(G20="",Settings!$B$17=""),"",IF(OR(ABS(G20-Settings!$B$5)&lt;=Settings!$B$17,ABS(G20-Settings!$B$6)&lt;=Settings!$B$17,ABS(G20-Settings!$B$7)&lt;=Settings!$B$17),"NEAR CUT",""))</f>
        <v/>
      </c>
      <c r="AM20" s="31">
        <f>IF('Post-Test Entry'!$AR20&lt;&gt;"","Post essay: code "&amp;'Post-Test Entry'!$AR20,IF('Pre-Test Entry'!$AR20&lt;&gt;"","Pre essay: code "&amp;'Pre-Test Entry'!$AR20,""))</f>
        <v/>
      </c>
      <c r="AN20" s="39">
        <f>IFERROR(IF($AJ20="","",INDEX(Settings!$D$28:$D$34,MATCH($AJ20,Settings!$A$28:$A$34,0))),"")</f>
        <v/>
      </c>
      <c r="AP20">
        <f>IF(D20="","",D20^2)</f>
        <v/>
      </c>
      <c r="AQ20">
        <f>IF(G20="","",G20^2)</f>
        <v/>
      </c>
    </row>
    <row r="21">
      <c r="A21" s="30">
        <f>IF(Roster!$A21="","",Roster!$A21)</f>
        <v/>
      </c>
      <c r="B21" s="31">
        <f>IF(Roster!$B21&lt;&gt;"",Roster!$C21&amp;" "&amp;Roster!$B21,"")</f>
        <v/>
      </c>
      <c r="C21" s="30">
        <f>IF(Roster!$B21&lt;&gt;"",Roster!$D21,"")</f>
        <v/>
      </c>
      <c r="D21" s="16">
        <f>IF(AND(Roster!$B21&lt;&gt;"",COUNT('Pre-Test Entry'!$C21:$AQ21)&gt;0),'Pre-Test Entry'!$AS21,"")</f>
        <v/>
      </c>
      <c r="E21" s="37">
        <f>IFERROR(D21/Settings!$B$8,"")</f>
        <v/>
      </c>
      <c r="F21" s="31">
        <f>IF(D21="","",IF(D21&gt;=Settings!$B$7,"Distinguished Learner",IF(D21&gt;=Settings!$B$6,"Proficient Learner",IF(D21&gt;=Settings!$B$5,"Developing Learner","Beginning Learner"))))</f>
        <v/>
      </c>
      <c r="G21" s="16">
        <f>IF(AND(Roster!$B21&lt;&gt;"",COUNT('Post-Test Entry'!$C21:$AQ21)&gt;0),'Post-Test Entry'!$AS21,"")</f>
        <v/>
      </c>
      <c r="H21" s="37">
        <f>IFERROR(G21/Settings!$B$8,"")</f>
        <v/>
      </c>
      <c r="I21" s="31">
        <f>IF(G21="","",IF(G21&gt;=Settings!$B$7,"Distinguished Learner",IF(G21&gt;=Settings!$B$6,"Proficient Learner",IF(G21&gt;=Settings!$B$5,"Developing Learner","Beginning Learner"))))</f>
        <v/>
      </c>
      <c r="J21" s="16">
        <f>IF(OR(D21="",G21=""),"",G21-D21)</f>
        <v/>
      </c>
      <c r="K21" s="37">
        <f>IFERROR(IF(OR(J21="",J21&lt;=0),"",(G21-D21)/(Settings!$B$8-D21)),"")</f>
        <v/>
      </c>
      <c r="L21" s="38">
        <f>IFERROR(IF(J21="","",(G21-D21)/(Settings!$B$17*SQRT(2))),"")</f>
        <v/>
      </c>
      <c r="M21" s="30">
        <f>IF(L21="","",IF(ABS(L21)&gt;=1.96,"Yes","No"))</f>
        <v/>
      </c>
      <c r="N21" s="30">
        <f>IF(J21="","",IF(J21&gt;=Settings!$B$15,"Yes","No"))</f>
        <v/>
      </c>
      <c r="O21" s="37">
        <f>IFERROR(IF($D21="","",SUMIF('Pre-Test Entry'!$C$3:$AQ$3,Settings!$A$28,'Pre-Test Entry'!$C21:$AQ21)/Settings!$C$28),"")</f>
        <v/>
      </c>
      <c r="P21" s="37">
        <f>IFERROR(IF($D21="","",SUMIF('Pre-Test Entry'!$C$3:$AQ$3,Settings!$A$29,'Pre-Test Entry'!$C21:$AQ21)/Settings!$C$29),"")</f>
        <v/>
      </c>
      <c r="Q21" s="37">
        <f>IFERROR(IF($D21="","",SUMIF('Pre-Test Entry'!$C$3:$AQ$3,Settings!$A$30,'Pre-Test Entry'!$C21:$AQ21)/Settings!$C$30),"")</f>
        <v/>
      </c>
      <c r="R21" s="37">
        <f>IFERROR(IF($D21="","",SUMIF('Pre-Test Entry'!$C$3:$AQ$3,Settings!$A$31,'Pre-Test Entry'!$C21:$AQ21)/Settings!$C$31),"")</f>
        <v/>
      </c>
      <c r="S21" s="37">
        <f>IFERROR(IF($D21="","",SUMIF('Pre-Test Entry'!$C$3:$AQ$3,Settings!$A$32,'Pre-Test Entry'!$C21:$AQ21)/Settings!$C$32),"")</f>
        <v/>
      </c>
      <c r="T21" s="37">
        <f>IFERROR(IF($D21="","",SUMIF('Pre-Test Entry'!$C$3:$AQ$3,Settings!$A$33,'Pre-Test Entry'!$C21:$AQ21)/Settings!$C$33),"")</f>
        <v/>
      </c>
      <c r="U21" s="37">
        <f>IFERROR(IF($D21="","",SUMIF('Pre-Test Entry'!$C$3:$AQ$3,Settings!$A$34,'Pre-Test Entry'!$C21:$AQ21)/Settings!$C$34),"")</f>
        <v/>
      </c>
      <c r="V21" s="37">
        <f>IFERROR(IF($G21="","",SUMIF('Post-Test Entry'!$C$3:$AQ$3,Settings!$A$28,'Post-Test Entry'!$C21:$AQ21)/Settings!$C$28),"")</f>
        <v/>
      </c>
      <c r="W21" s="37">
        <f>IFERROR(IF($G21="","",SUMIF('Post-Test Entry'!$C$3:$AQ$3,Settings!$A$29,'Post-Test Entry'!$C21:$AQ21)/Settings!$C$29),"")</f>
        <v/>
      </c>
      <c r="X21" s="37">
        <f>IFERROR(IF($G21="","",SUMIF('Post-Test Entry'!$C$3:$AQ$3,Settings!$A$30,'Post-Test Entry'!$C21:$AQ21)/Settings!$C$30),"")</f>
        <v/>
      </c>
      <c r="Y21" s="37">
        <f>IFERROR(IF($G21="","",SUMIF('Post-Test Entry'!$C$3:$AQ$3,Settings!$A$31,'Post-Test Entry'!$C21:$AQ21)/Settings!$C$31),"")</f>
        <v/>
      </c>
      <c r="Z21" s="37">
        <f>IFERROR(IF($G21="","",SUMIF('Post-Test Entry'!$C$3:$AQ$3,Settings!$A$32,'Post-Test Entry'!$C21:$AQ21)/Settings!$C$32),"")</f>
        <v/>
      </c>
      <c r="AA21" s="37">
        <f>IFERROR(IF($G21="","",SUMIF('Post-Test Entry'!$C$3:$AQ$3,Settings!$A$33,'Post-Test Entry'!$C21:$AQ21)/Settings!$C$33),"")</f>
        <v/>
      </c>
      <c r="AB21" s="37">
        <f>IFERROR(IF($G21="","",SUMIF('Post-Test Entry'!$C$3:$AQ$3,Settings!$A$34,'Post-Test Entry'!$C21:$AQ21)/Settings!$C$34),"")</f>
        <v/>
      </c>
      <c r="AC21" s="37">
        <f>IF(OR(O21="",V21=""),"",V21-O21)</f>
        <v/>
      </c>
      <c r="AD21" s="37">
        <f>IF(OR(P21="",W21=""),"",W21-P21)</f>
        <v/>
      </c>
      <c r="AE21" s="37">
        <f>IF(OR(Q21="",X21=""),"",X21-Q21)</f>
        <v/>
      </c>
      <c r="AF21" s="37">
        <f>IF(OR(R21="",Y21=""),"",Y21-R21)</f>
        <v/>
      </c>
      <c r="AG21" s="37">
        <f>IF(OR(S21="",Z21=""),"",Z21-S21)</f>
        <v/>
      </c>
      <c r="AH21" s="37">
        <f>IF(OR(T21="",AA21=""),"",AA21-T21)</f>
        <v/>
      </c>
      <c r="AI21" s="37">
        <f>IF(OR(U21="",AB21=""),"",AB21-U21)</f>
        <v/>
      </c>
      <c r="AJ21" s="30">
        <f>IFERROR(IF($G21&lt;&gt;"",INDEX($V$4:$AB$4,MATCH(MIN($V21:$AB21),$V21:$AB21,0)),IF($D21&lt;&gt;"",INDEX($O$4:$U$4,MATCH(MIN($O21:$U21),$O21:$U21,0)),"")),"")</f>
        <v/>
      </c>
      <c r="AK21" s="30">
        <f>IFERROR(IF($G21&lt;&gt;"",INDEX($V$4:$AB$4,MATCH(SMALL($V21:$AB21,2),$V21:$AB21,0)),IF($D21&lt;&gt;"",INDEX($O$4:$U$4,MATCH(SMALL($O21:$U21,2),$O21:$U21,0)),"")),"")</f>
        <v/>
      </c>
      <c r="AL21" s="30">
        <f>IF(OR(G21="",Settings!$B$17=""),"",IF(OR(ABS(G21-Settings!$B$5)&lt;=Settings!$B$17,ABS(G21-Settings!$B$6)&lt;=Settings!$B$17,ABS(G21-Settings!$B$7)&lt;=Settings!$B$17),"NEAR CUT",""))</f>
        <v/>
      </c>
      <c r="AM21" s="31">
        <f>IF('Post-Test Entry'!$AR21&lt;&gt;"","Post essay: code "&amp;'Post-Test Entry'!$AR21,IF('Pre-Test Entry'!$AR21&lt;&gt;"","Pre essay: code "&amp;'Pre-Test Entry'!$AR21,""))</f>
        <v/>
      </c>
      <c r="AN21" s="39">
        <f>IFERROR(IF($AJ21="","",INDEX(Settings!$D$28:$D$34,MATCH($AJ21,Settings!$A$28:$A$34,0))),"")</f>
        <v/>
      </c>
      <c r="AP21">
        <f>IF(D21="","",D21^2)</f>
        <v/>
      </c>
      <c r="AQ21">
        <f>IF(G21="","",G21^2)</f>
        <v/>
      </c>
    </row>
    <row r="22">
      <c r="A22" s="30">
        <f>IF(Roster!$A22="","",Roster!$A22)</f>
        <v/>
      </c>
      <c r="B22" s="31">
        <f>IF(Roster!$B22&lt;&gt;"",Roster!$C22&amp;" "&amp;Roster!$B22,"")</f>
        <v/>
      </c>
      <c r="C22" s="30">
        <f>IF(Roster!$B22&lt;&gt;"",Roster!$D22,"")</f>
        <v/>
      </c>
      <c r="D22" s="16">
        <f>IF(AND(Roster!$B22&lt;&gt;"",COUNT('Pre-Test Entry'!$C22:$AQ22)&gt;0),'Pre-Test Entry'!$AS22,"")</f>
        <v/>
      </c>
      <c r="E22" s="37">
        <f>IFERROR(D22/Settings!$B$8,"")</f>
        <v/>
      </c>
      <c r="F22" s="31">
        <f>IF(D22="","",IF(D22&gt;=Settings!$B$7,"Distinguished Learner",IF(D22&gt;=Settings!$B$6,"Proficient Learner",IF(D22&gt;=Settings!$B$5,"Developing Learner","Beginning Learner"))))</f>
        <v/>
      </c>
      <c r="G22" s="16">
        <f>IF(AND(Roster!$B22&lt;&gt;"",COUNT('Post-Test Entry'!$C22:$AQ22)&gt;0),'Post-Test Entry'!$AS22,"")</f>
        <v/>
      </c>
      <c r="H22" s="37">
        <f>IFERROR(G22/Settings!$B$8,"")</f>
        <v/>
      </c>
      <c r="I22" s="31">
        <f>IF(G22="","",IF(G22&gt;=Settings!$B$7,"Distinguished Learner",IF(G22&gt;=Settings!$B$6,"Proficient Learner",IF(G22&gt;=Settings!$B$5,"Developing Learner","Beginning Learner"))))</f>
        <v/>
      </c>
      <c r="J22" s="16">
        <f>IF(OR(D22="",G22=""),"",G22-D22)</f>
        <v/>
      </c>
      <c r="K22" s="37">
        <f>IFERROR(IF(OR(J22="",J22&lt;=0),"",(G22-D22)/(Settings!$B$8-D22)),"")</f>
        <v/>
      </c>
      <c r="L22" s="38">
        <f>IFERROR(IF(J22="","",(G22-D22)/(Settings!$B$17*SQRT(2))),"")</f>
        <v/>
      </c>
      <c r="M22" s="30">
        <f>IF(L22="","",IF(ABS(L22)&gt;=1.96,"Yes","No"))</f>
        <v/>
      </c>
      <c r="N22" s="30">
        <f>IF(J22="","",IF(J22&gt;=Settings!$B$15,"Yes","No"))</f>
        <v/>
      </c>
      <c r="O22" s="37">
        <f>IFERROR(IF($D22="","",SUMIF('Pre-Test Entry'!$C$3:$AQ$3,Settings!$A$28,'Pre-Test Entry'!$C22:$AQ22)/Settings!$C$28),"")</f>
        <v/>
      </c>
      <c r="P22" s="37">
        <f>IFERROR(IF($D22="","",SUMIF('Pre-Test Entry'!$C$3:$AQ$3,Settings!$A$29,'Pre-Test Entry'!$C22:$AQ22)/Settings!$C$29),"")</f>
        <v/>
      </c>
      <c r="Q22" s="37">
        <f>IFERROR(IF($D22="","",SUMIF('Pre-Test Entry'!$C$3:$AQ$3,Settings!$A$30,'Pre-Test Entry'!$C22:$AQ22)/Settings!$C$30),"")</f>
        <v/>
      </c>
      <c r="R22" s="37">
        <f>IFERROR(IF($D22="","",SUMIF('Pre-Test Entry'!$C$3:$AQ$3,Settings!$A$31,'Pre-Test Entry'!$C22:$AQ22)/Settings!$C$31),"")</f>
        <v/>
      </c>
      <c r="S22" s="37">
        <f>IFERROR(IF($D22="","",SUMIF('Pre-Test Entry'!$C$3:$AQ$3,Settings!$A$32,'Pre-Test Entry'!$C22:$AQ22)/Settings!$C$32),"")</f>
        <v/>
      </c>
      <c r="T22" s="37">
        <f>IFERROR(IF($D22="","",SUMIF('Pre-Test Entry'!$C$3:$AQ$3,Settings!$A$33,'Pre-Test Entry'!$C22:$AQ22)/Settings!$C$33),"")</f>
        <v/>
      </c>
      <c r="U22" s="37">
        <f>IFERROR(IF($D22="","",SUMIF('Pre-Test Entry'!$C$3:$AQ$3,Settings!$A$34,'Pre-Test Entry'!$C22:$AQ22)/Settings!$C$34),"")</f>
        <v/>
      </c>
      <c r="V22" s="37">
        <f>IFERROR(IF($G22="","",SUMIF('Post-Test Entry'!$C$3:$AQ$3,Settings!$A$28,'Post-Test Entry'!$C22:$AQ22)/Settings!$C$28),"")</f>
        <v/>
      </c>
      <c r="W22" s="37">
        <f>IFERROR(IF($G22="","",SUMIF('Post-Test Entry'!$C$3:$AQ$3,Settings!$A$29,'Post-Test Entry'!$C22:$AQ22)/Settings!$C$29),"")</f>
        <v/>
      </c>
      <c r="X22" s="37">
        <f>IFERROR(IF($G22="","",SUMIF('Post-Test Entry'!$C$3:$AQ$3,Settings!$A$30,'Post-Test Entry'!$C22:$AQ22)/Settings!$C$30),"")</f>
        <v/>
      </c>
      <c r="Y22" s="37">
        <f>IFERROR(IF($G22="","",SUMIF('Post-Test Entry'!$C$3:$AQ$3,Settings!$A$31,'Post-Test Entry'!$C22:$AQ22)/Settings!$C$31),"")</f>
        <v/>
      </c>
      <c r="Z22" s="37">
        <f>IFERROR(IF($G22="","",SUMIF('Post-Test Entry'!$C$3:$AQ$3,Settings!$A$32,'Post-Test Entry'!$C22:$AQ22)/Settings!$C$32),"")</f>
        <v/>
      </c>
      <c r="AA22" s="37">
        <f>IFERROR(IF($G22="","",SUMIF('Post-Test Entry'!$C$3:$AQ$3,Settings!$A$33,'Post-Test Entry'!$C22:$AQ22)/Settings!$C$33),"")</f>
        <v/>
      </c>
      <c r="AB22" s="37">
        <f>IFERROR(IF($G22="","",SUMIF('Post-Test Entry'!$C$3:$AQ$3,Settings!$A$34,'Post-Test Entry'!$C22:$AQ22)/Settings!$C$34),"")</f>
        <v/>
      </c>
      <c r="AC22" s="37">
        <f>IF(OR(O22="",V22=""),"",V22-O22)</f>
        <v/>
      </c>
      <c r="AD22" s="37">
        <f>IF(OR(P22="",W22=""),"",W22-P22)</f>
        <v/>
      </c>
      <c r="AE22" s="37">
        <f>IF(OR(Q22="",X22=""),"",X22-Q22)</f>
        <v/>
      </c>
      <c r="AF22" s="37">
        <f>IF(OR(R22="",Y22=""),"",Y22-R22)</f>
        <v/>
      </c>
      <c r="AG22" s="37">
        <f>IF(OR(S22="",Z22=""),"",Z22-S22)</f>
        <v/>
      </c>
      <c r="AH22" s="37">
        <f>IF(OR(T22="",AA22=""),"",AA22-T22)</f>
        <v/>
      </c>
      <c r="AI22" s="37">
        <f>IF(OR(U22="",AB22=""),"",AB22-U22)</f>
        <v/>
      </c>
      <c r="AJ22" s="30">
        <f>IFERROR(IF($G22&lt;&gt;"",INDEX($V$4:$AB$4,MATCH(MIN($V22:$AB22),$V22:$AB22,0)),IF($D22&lt;&gt;"",INDEX($O$4:$U$4,MATCH(MIN($O22:$U22),$O22:$U22,0)),"")),"")</f>
        <v/>
      </c>
      <c r="AK22" s="30">
        <f>IFERROR(IF($G22&lt;&gt;"",INDEX($V$4:$AB$4,MATCH(SMALL($V22:$AB22,2),$V22:$AB22,0)),IF($D22&lt;&gt;"",INDEX($O$4:$U$4,MATCH(SMALL($O22:$U22,2),$O22:$U22,0)),"")),"")</f>
        <v/>
      </c>
      <c r="AL22" s="30">
        <f>IF(OR(G22="",Settings!$B$17=""),"",IF(OR(ABS(G22-Settings!$B$5)&lt;=Settings!$B$17,ABS(G22-Settings!$B$6)&lt;=Settings!$B$17,ABS(G22-Settings!$B$7)&lt;=Settings!$B$17),"NEAR CUT",""))</f>
        <v/>
      </c>
      <c r="AM22" s="31">
        <f>IF('Post-Test Entry'!$AR22&lt;&gt;"","Post essay: code "&amp;'Post-Test Entry'!$AR22,IF('Pre-Test Entry'!$AR22&lt;&gt;"","Pre essay: code "&amp;'Pre-Test Entry'!$AR22,""))</f>
        <v/>
      </c>
      <c r="AN22" s="39">
        <f>IFERROR(IF($AJ22="","",INDEX(Settings!$D$28:$D$34,MATCH($AJ22,Settings!$A$28:$A$34,0))),"")</f>
        <v/>
      </c>
      <c r="AP22">
        <f>IF(D22="","",D22^2)</f>
        <v/>
      </c>
      <c r="AQ22">
        <f>IF(G22="","",G22^2)</f>
        <v/>
      </c>
    </row>
    <row r="23">
      <c r="A23" s="30">
        <f>IF(Roster!$A23="","",Roster!$A23)</f>
        <v/>
      </c>
      <c r="B23" s="31">
        <f>IF(Roster!$B23&lt;&gt;"",Roster!$C23&amp;" "&amp;Roster!$B23,"")</f>
        <v/>
      </c>
      <c r="C23" s="30">
        <f>IF(Roster!$B23&lt;&gt;"",Roster!$D23,"")</f>
        <v/>
      </c>
      <c r="D23" s="16">
        <f>IF(AND(Roster!$B23&lt;&gt;"",COUNT('Pre-Test Entry'!$C23:$AQ23)&gt;0),'Pre-Test Entry'!$AS23,"")</f>
        <v/>
      </c>
      <c r="E23" s="37">
        <f>IFERROR(D23/Settings!$B$8,"")</f>
        <v/>
      </c>
      <c r="F23" s="31">
        <f>IF(D23="","",IF(D23&gt;=Settings!$B$7,"Distinguished Learner",IF(D23&gt;=Settings!$B$6,"Proficient Learner",IF(D23&gt;=Settings!$B$5,"Developing Learner","Beginning Learner"))))</f>
        <v/>
      </c>
      <c r="G23" s="16">
        <f>IF(AND(Roster!$B23&lt;&gt;"",COUNT('Post-Test Entry'!$C23:$AQ23)&gt;0),'Post-Test Entry'!$AS23,"")</f>
        <v/>
      </c>
      <c r="H23" s="37">
        <f>IFERROR(G23/Settings!$B$8,"")</f>
        <v/>
      </c>
      <c r="I23" s="31">
        <f>IF(G23="","",IF(G23&gt;=Settings!$B$7,"Distinguished Learner",IF(G23&gt;=Settings!$B$6,"Proficient Learner",IF(G23&gt;=Settings!$B$5,"Developing Learner","Beginning Learner"))))</f>
        <v/>
      </c>
      <c r="J23" s="16">
        <f>IF(OR(D23="",G23=""),"",G23-D23)</f>
        <v/>
      </c>
      <c r="K23" s="37">
        <f>IFERROR(IF(OR(J23="",J23&lt;=0),"",(G23-D23)/(Settings!$B$8-D23)),"")</f>
        <v/>
      </c>
      <c r="L23" s="38">
        <f>IFERROR(IF(J23="","",(G23-D23)/(Settings!$B$17*SQRT(2))),"")</f>
        <v/>
      </c>
      <c r="M23" s="30">
        <f>IF(L23="","",IF(ABS(L23)&gt;=1.96,"Yes","No"))</f>
        <v/>
      </c>
      <c r="N23" s="30">
        <f>IF(J23="","",IF(J23&gt;=Settings!$B$15,"Yes","No"))</f>
        <v/>
      </c>
      <c r="O23" s="37">
        <f>IFERROR(IF($D23="","",SUMIF('Pre-Test Entry'!$C$3:$AQ$3,Settings!$A$28,'Pre-Test Entry'!$C23:$AQ23)/Settings!$C$28),"")</f>
        <v/>
      </c>
      <c r="P23" s="37">
        <f>IFERROR(IF($D23="","",SUMIF('Pre-Test Entry'!$C$3:$AQ$3,Settings!$A$29,'Pre-Test Entry'!$C23:$AQ23)/Settings!$C$29),"")</f>
        <v/>
      </c>
      <c r="Q23" s="37">
        <f>IFERROR(IF($D23="","",SUMIF('Pre-Test Entry'!$C$3:$AQ$3,Settings!$A$30,'Pre-Test Entry'!$C23:$AQ23)/Settings!$C$30),"")</f>
        <v/>
      </c>
      <c r="R23" s="37">
        <f>IFERROR(IF($D23="","",SUMIF('Pre-Test Entry'!$C$3:$AQ$3,Settings!$A$31,'Pre-Test Entry'!$C23:$AQ23)/Settings!$C$31),"")</f>
        <v/>
      </c>
      <c r="S23" s="37">
        <f>IFERROR(IF($D23="","",SUMIF('Pre-Test Entry'!$C$3:$AQ$3,Settings!$A$32,'Pre-Test Entry'!$C23:$AQ23)/Settings!$C$32),"")</f>
        <v/>
      </c>
      <c r="T23" s="37">
        <f>IFERROR(IF($D23="","",SUMIF('Pre-Test Entry'!$C$3:$AQ$3,Settings!$A$33,'Pre-Test Entry'!$C23:$AQ23)/Settings!$C$33),"")</f>
        <v/>
      </c>
      <c r="U23" s="37">
        <f>IFERROR(IF($D23="","",SUMIF('Pre-Test Entry'!$C$3:$AQ$3,Settings!$A$34,'Pre-Test Entry'!$C23:$AQ23)/Settings!$C$34),"")</f>
        <v/>
      </c>
      <c r="V23" s="37">
        <f>IFERROR(IF($G23="","",SUMIF('Post-Test Entry'!$C$3:$AQ$3,Settings!$A$28,'Post-Test Entry'!$C23:$AQ23)/Settings!$C$28),"")</f>
        <v/>
      </c>
      <c r="W23" s="37">
        <f>IFERROR(IF($G23="","",SUMIF('Post-Test Entry'!$C$3:$AQ$3,Settings!$A$29,'Post-Test Entry'!$C23:$AQ23)/Settings!$C$29),"")</f>
        <v/>
      </c>
      <c r="X23" s="37">
        <f>IFERROR(IF($G23="","",SUMIF('Post-Test Entry'!$C$3:$AQ$3,Settings!$A$30,'Post-Test Entry'!$C23:$AQ23)/Settings!$C$30),"")</f>
        <v/>
      </c>
      <c r="Y23" s="37">
        <f>IFERROR(IF($G23="","",SUMIF('Post-Test Entry'!$C$3:$AQ$3,Settings!$A$31,'Post-Test Entry'!$C23:$AQ23)/Settings!$C$31),"")</f>
        <v/>
      </c>
      <c r="Z23" s="37">
        <f>IFERROR(IF($G23="","",SUMIF('Post-Test Entry'!$C$3:$AQ$3,Settings!$A$32,'Post-Test Entry'!$C23:$AQ23)/Settings!$C$32),"")</f>
        <v/>
      </c>
      <c r="AA23" s="37">
        <f>IFERROR(IF($G23="","",SUMIF('Post-Test Entry'!$C$3:$AQ$3,Settings!$A$33,'Post-Test Entry'!$C23:$AQ23)/Settings!$C$33),"")</f>
        <v/>
      </c>
      <c r="AB23" s="37">
        <f>IFERROR(IF($G23="","",SUMIF('Post-Test Entry'!$C$3:$AQ$3,Settings!$A$34,'Post-Test Entry'!$C23:$AQ23)/Settings!$C$34),"")</f>
        <v/>
      </c>
      <c r="AC23" s="37">
        <f>IF(OR(O23="",V23=""),"",V23-O23)</f>
        <v/>
      </c>
      <c r="AD23" s="37">
        <f>IF(OR(P23="",W23=""),"",W23-P23)</f>
        <v/>
      </c>
      <c r="AE23" s="37">
        <f>IF(OR(Q23="",X23=""),"",X23-Q23)</f>
        <v/>
      </c>
      <c r="AF23" s="37">
        <f>IF(OR(R23="",Y23=""),"",Y23-R23)</f>
        <v/>
      </c>
      <c r="AG23" s="37">
        <f>IF(OR(S23="",Z23=""),"",Z23-S23)</f>
        <v/>
      </c>
      <c r="AH23" s="37">
        <f>IF(OR(T23="",AA23=""),"",AA23-T23)</f>
        <v/>
      </c>
      <c r="AI23" s="37">
        <f>IF(OR(U23="",AB23=""),"",AB23-U23)</f>
        <v/>
      </c>
      <c r="AJ23" s="30">
        <f>IFERROR(IF($G23&lt;&gt;"",INDEX($V$4:$AB$4,MATCH(MIN($V23:$AB23),$V23:$AB23,0)),IF($D23&lt;&gt;"",INDEX($O$4:$U$4,MATCH(MIN($O23:$U23),$O23:$U23,0)),"")),"")</f>
        <v/>
      </c>
      <c r="AK23" s="30">
        <f>IFERROR(IF($G23&lt;&gt;"",INDEX($V$4:$AB$4,MATCH(SMALL($V23:$AB23,2),$V23:$AB23,0)),IF($D23&lt;&gt;"",INDEX($O$4:$U$4,MATCH(SMALL($O23:$U23,2),$O23:$U23,0)),"")),"")</f>
        <v/>
      </c>
      <c r="AL23" s="30">
        <f>IF(OR(G23="",Settings!$B$17=""),"",IF(OR(ABS(G23-Settings!$B$5)&lt;=Settings!$B$17,ABS(G23-Settings!$B$6)&lt;=Settings!$B$17,ABS(G23-Settings!$B$7)&lt;=Settings!$B$17),"NEAR CUT",""))</f>
        <v/>
      </c>
      <c r="AM23" s="31">
        <f>IF('Post-Test Entry'!$AR23&lt;&gt;"","Post essay: code "&amp;'Post-Test Entry'!$AR23,IF('Pre-Test Entry'!$AR23&lt;&gt;"","Pre essay: code "&amp;'Pre-Test Entry'!$AR23,""))</f>
        <v/>
      </c>
      <c r="AN23" s="39">
        <f>IFERROR(IF($AJ23="","",INDEX(Settings!$D$28:$D$34,MATCH($AJ23,Settings!$A$28:$A$34,0))),"")</f>
        <v/>
      </c>
      <c r="AP23">
        <f>IF(D23="","",D23^2)</f>
        <v/>
      </c>
      <c r="AQ23">
        <f>IF(G23="","",G23^2)</f>
        <v/>
      </c>
    </row>
    <row r="24">
      <c r="A24" s="30">
        <f>IF(Roster!$A24="","",Roster!$A24)</f>
        <v/>
      </c>
      <c r="B24" s="31">
        <f>IF(Roster!$B24&lt;&gt;"",Roster!$C24&amp;" "&amp;Roster!$B24,"")</f>
        <v/>
      </c>
      <c r="C24" s="30">
        <f>IF(Roster!$B24&lt;&gt;"",Roster!$D24,"")</f>
        <v/>
      </c>
      <c r="D24" s="16">
        <f>IF(AND(Roster!$B24&lt;&gt;"",COUNT('Pre-Test Entry'!$C24:$AQ24)&gt;0),'Pre-Test Entry'!$AS24,"")</f>
        <v/>
      </c>
      <c r="E24" s="37">
        <f>IFERROR(D24/Settings!$B$8,"")</f>
        <v/>
      </c>
      <c r="F24" s="31">
        <f>IF(D24="","",IF(D24&gt;=Settings!$B$7,"Distinguished Learner",IF(D24&gt;=Settings!$B$6,"Proficient Learner",IF(D24&gt;=Settings!$B$5,"Developing Learner","Beginning Learner"))))</f>
        <v/>
      </c>
      <c r="G24" s="16">
        <f>IF(AND(Roster!$B24&lt;&gt;"",COUNT('Post-Test Entry'!$C24:$AQ24)&gt;0),'Post-Test Entry'!$AS24,"")</f>
        <v/>
      </c>
      <c r="H24" s="37">
        <f>IFERROR(G24/Settings!$B$8,"")</f>
        <v/>
      </c>
      <c r="I24" s="31">
        <f>IF(G24="","",IF(G24&gt;=Settings!$B$7,"Distinguished Learner",IF(G24&gt;=Settings!$B$6,"Proficient Learner",IF(G24&gt;=Settings!$B$5,"Developing Learner","Beginning Learner"))))</f>
        <v/>
      </c>
      <c r="J24" s="16">
        <f>IF(OR(D24="",G24=""),"",G24-D24)</f>
        <v/>
      </c>
      <c r="K24" s="37">
        <f>IFERROR(IF(OR(J24="",J24&lt;=0),"",(G24-D24)/(Settings!$B$8-D24)),"")</f>
        <v/>
      </c>
      <c r="L24" s="38">
        <f>IFERROR(IF(J24="","",(G24-D24)/(Settings!$B$17*SQRT(2))),"")</f>
        <v/>
      </c>
      <c r="M24" s="30">
        <f>IF(L24="","",IF(ABS(L24)&gt;=1.96,"Yes","No"))</f>
        <v/>
      </c>
      <c r="N24" s="30">
        <f>IF(J24="","",IF(J24&gt;=Settings!$B$15,"Yes","No"))</f>
        <v/>
      </c>
      <c r="O24" s="37">
        <f>IFERROR(IF($D24="","",SUMIF('Pre-Test Entry'!$C$3:$AQ$3,Settings!$A$28,'Pre-Test Entry'!$C24:$AQ24)/Settings!$C$28),"")</f>
        <v/>
      </c>
      <c r="P24" s="37">
        <f>IFERROR(IF($D24="","",SUMIF('Pre-Test Entry'!$C$3:$AQ$3,Settings!$A$29,'Pre-Test Entry'!$C24:$AQ24)/Settings!$C$29),"")</f>
        <v/>
      </c>
      <c r="Q24" s="37">
        <f>IFERROR(IF($D24="","",SUMIF('Pre-Test Entry'!$C$3:$AQ$3,Settings!$A$30,'Pre-Test Entry'!$C24:$AQ24)/Settings!$C$30),"")</f>
        <v/>
      </c>
      <c r="R24" s="37">
        <f>IFERROR(IF($D24="","",SUMIF('Pre-Test Entry'!$C$3:$AQ$3,Settings!$A$31,'Pre-Test Entry'!$C24:$AQ24)/Settings!$C$31),"")</f>
        <v/>
      </c>
      <c r="S24" s="37">
        <f>IFERROR(IF($D24="","",SUMIF('Pre-Test Entry'!$C$3:$AQ$3,Settings!$A$32,'Pre-Test Entry'!$C24:$AQ24)/Settings!$C$32),"")</f>
        <v/>
      </c>
      <c r="T24" s="37">
        <f>IFERROR(IF($D24="","",SUMIF('Pre-Test Entry'!$C$3:$AQ$3,Settings!$A$33,'Pre-Test Entry'!$C24:$AQ24)/Settings!$C$33),"")</f>
        <v/>
      </c>
      <c r="U24" s="37">
        <f>IFERROR(IF($D24="","",SUMIF('Pre-Test Entry'!$C$3:$AQ$3,Settings!$A$34,'Pre-Test Entry'!$C24:$AQ24)/Settings!$C$34),"")</f>
        <v/>
      </c>
      <c r="V24" s="37">
        <f>IFERROR(IF($G24="","",SUMIF('Post-Test Entry'!$C$3:$AQ$3,Settings!$A$28,'Post-Test Entry'!$C24:$AQ24)/Settings!$C$28),"")</f>
        <v/>
      </c>
      <c r="W24" s="37">
        <f>IFERROR(IF($G24="","",SUMIF('Post-Test Entry'!$C$3:$AQ$3,Settings!$A$29,'Post-Test Entry'!$C24:$AQ24)/Settings!$C$29),"")</f>
        <v/>
      </c>
      <c r="X24" s="37">
        <f>IFERROR(IF($G24="","",SUMIF('Post-Test Entry'!$C$3:$AQ$3,Settings!$A$30,'Post-Test Entry'!$C24:$AQ24)/Settings!$C$30),"")</f>
        <v/>
      </c>
      <c r="Y24" s="37">
        <f>IFERROR(IF($G24="","",SUMIF('Post-Test Entry'!$C$3:$AQ$3,Settings!$A$31,'Post-Test Entry'!$C24:$AQ24)/Settings!$C$31),"")</f>
        <v/>
      </c>
      <c r="Z24" s="37">
        <f>IFERROR(IF($G24="","",SUMIF('Post-Test Entry'!$C$3:$AQ$3,Settings!$A$32,'Post-Test Entry'!$C24:$AQ24)/Settings!$C$32),"")</f>
        <v/>
      </c>
      <c r="AA24" s="37">
        <f>IFERROR(IF($G24="","",SUMIF('Post-Test Entry'!$C$3:$AQ$3,Settings!$A$33,'Post-Test Entry'!$C24:$AQ24)/Settings!$C$33),"")</f>
        <v/>
      </c>
      <c r="AB24" s="37">
        <f>IFERROR(IF($G24="","",SUMIF('Post-Test Entry'!$C$3:$AQ$3,Settings!$A$34,'Post-Test Entry'!$C24:$AQ24)/Settings!$C$34),"")</f>
        <v/>
      </c>
      <c r="AC24" s="37">
        <f>IF(OR(O24="",V24=""),"",V24-O24)</f>
        <v/>
      </c>
      <c r="AD24" s="37">
        <f>IF(OR(P24="",W24=""),"",W24-P24)</f>
        <v/>
      </c>
      <c r="AE24" s="37">
        <f>IF(OR(Q24="",X24=""),"",X24-Q24)</f>
        <v/>
      </c>
      <c r="AF24" s="37">
        <f>IF(OR(R24="",Y24=""),"",Y24-R24)</f>
        <v/>
      </c>
      <c r="AG24" s="37">
        <f>IF(OR(S24="",Z24=""),"",Z24-S24)</f>
        <v/>
      </c>
      <c r="AH24" s="37">
        <f>IF(OR(T24="",AA24=""),"",AA24-T24)</f>
        <v/>
      </c>
      <c r="AI24" s="37">
        <f>IF(OR(U24="",AB24=""),"",AB24-U24)</f>
        <v/>
      </c>
      <c r="AJ24" s="30">
        <f>IFERROR(IF($G24&lt;&gt;"",INDEX($V$4:$AB$4,MATCH(MIN($V24:$AB24),$V24:$AB24,0)),IF($D24&lt;&gt;"",INDEX($O$4:$U$4,MATCH(MIN($O24:$U24),$O24:$U24,0)),"")),"")</f>
        <v/>
      </c>
      <c r="AK24" s="30">
        <f>IFERROR(IF($G24&lt;&gt;"",INDEX($V$4:$AB$4,MATCH(SMALL($V24:$AB24,2),$V24:$AB24,0)),IF($D24&lt;&gt;"",INDEX($O$4:$U$4,MATCH(SMALL($O24:$U24,2),$O24:$U24,0)),"")),"")</f>
        <v/>
      </c>
      <c r="AL24" s="30">
        <f>IF(OR(G24="",Settings!$B$17=""),"",IF(OR(ABS(G24-Settings!$B$5)&lt;=Settings!$B$17,ABS(G24-Settings!$B$6)&lt;=Settings!$B$17,ABS(G24-Settings!$B$7)&lt;=Settings!$B$17),"NEAR CUT",""))</f>
        <v/>
      </c>
      <c r="AM24" s="31">
        <f>IF('Post-Test Entry'!$AR24&lt;&gt;"","Post essay: code "&amp;'Post-Test Entry'!$AR24,IF('Pre-Test Entry'!$AR24&lt;&gt;"","Pre essay: code "&amp;'Pre-Test Entry'!$AR24,""))</f>
        <v/>
      </c>
      <c r="AN24" s="39">
        <f>IFERROR(IF($AJ24="","",INDEX(Settings!$D$28:$D$34,MATCH($AJ24,Settings!$A$28:$A$34,0))),"")</f>
        <v/>
      </c>
      <c r="AP24">
        <f>IF(D24="","",D24^2)</f>
        <v/>
      </c>
      <c r="AQ24">
        <f>IF(G24="","",G24^2)</f>
        <v/>
      </c>
    </row>
    <row r="25">
      <c r="A25" s="30">
        <f>IF(Roster!$A25="","",Roster!$A25)</f>
        <v/>
      </c>
      <c r="B25" s="31">
        <f>IF(Roster!$B25&lt;&gt;"",Roster!$C25&amp;" "&amp;Roster!$B25,"")</f>
        <v/>
      </c>
      <c r="C25" s="30">
        <f>IF(Roster!$B25&lt;&gt;"",Roster!$D25,"")</f>
        <v/>
      </c>
      <c r="D25" s="16">
        <f>IF(AND(Roster!$B25&lt;&gt;"",COUNT('Pre-Test Entry'!$C25:$AQ25)&gt;0),'Pre-Test Entry'!$AS25,"")</f>
        <v/>
      </c>
      <c r="E25" s="37">
        <f>IFERROR(D25/Settings!$B$8,"")</f>
        <v/>
      </c>
      <c r="F25" s="31">
        <f>IF(D25="","",IF(D25&gt;=Settings!$B$7,"Distinguished Learner",IF(D25&gt;=Settings!$B$6,"Proficient Learner",IF(D25&gt;=Settings!$B$5,"Developing Learner","Beginning Learner"))))</f>
        <v/>
      </c>
      <c r="G25" s="16">
        <f>IF(AND(Roster!$B25&lt;&gt;"",COUNT('Post-Test Entry'!$C25:$AQ25)&gt;0),'Post-Test Entry'!$AS25,"")</f>
        <v/>
      </c>
      <c r="H25" s="37">
        <f>IFERROR(G25/Settings!$B$8,"")</f>
        <v/>
      </c>
      <c r="I25" s="31">
        <f>IF(G25="","",IF(G25&gt;=Settings!$B$7,"Distinguished Learner",IF(G25&gt;=Settings!$B$6,"Proficient Learner",IF(G25&gt;=Settings!$B$5,"Developing Learner","Beginning Learner"))))</f>
        <v/>
      </c>
      <c r="J25" s="16">
        <f>IF(OR(D25="",G25=""),"",G25-D25)</f>
        <v/>
      </c>
      <c r="K25" s="37">
        <f>IFERROR(IF(OR(J25="",J25&lt;=0),"",(G25-D25)/(Settings!$B$8-D25)),"")</f>
        <v/>
      </c>
      <c r="L25" s="38">
        <f>IFERROR(IF(J25="","",(G25-D25)/(Settings!$B$17*SQRT(2))),"")</f>
        <v/>
      </c>
      <c r="M25" s="30">
        <f>IF(L25="","",IF(ABS(L25)&gt;=1.96,"Yes","No"))</f>
        <v/>
      </c>
      <c r="N25" s="30">
        <f>IF(J25="","",IF(J25&gt;=Settings!$B$15,"Yes","No"))</f>
        <v/>
      </c>
      <c r="O25" s="37">
        <f>IFERROR(IF($D25="","",SUMIF('Pre-Test Entry'!$C$3:$AQ$3,Settings!$A$28,'Pre-Test Entry'!$C25:$AQ25)/Settings!$C$28),"")</f>
        <v/>
      </c>
      <c r="P25" s="37">
        <f>IFERROR(IF($D25="","",SUMIF('Pre-Test Entry'!$C$3:$AQ$3,Settings!$A$29,'Pre-Test Entry'!$C25:$AQ25)/Settings!$C$29),"")</f>
        <v/>
      </c>
      <c r="Q25" s="37">
        <f>IFERROR(IF($D25="","",SUMIF('Pre-Test Entry'!$C$3:$AQ$3,Settings!$A$30,'Pre-Test Entry'!$C25:$AQ25)/Settings!$C$30),"")</f>
        <v/>
      </c>
      <c r="R25" s="37">
        <f>IFERROR(IF($D25="","",SUMIF('Pre-Test Entry'!$C$3:$AQ$3,Settings!$A$31,'Pre-Test Entry'!$C25:$AQ25)/Settings!$C$31),"")</f>
        <v/>
      </c>
      <c r="S25" s="37">
        <f>IFERROR(IF($D25="","",SUMIF('Pre-Test Entry'!$C$3:$AQ$3,Settings!$A$32,'Pre-Test Entry'!$C25:$AQ25)/Settings!$C$32),"")</f>
        <v/>
      </c>
      <c r="T25" s="37">
        <f>IFERROR(IF($D25="","",SUMIF('Pre-Test Entry'!$C$3:$AQ$3,Settings!$A$33,'Pre-Test Entry'!$C25:$AQ25)/Settings!$C$33),"")</f>
        <v/>
      </c>
      <c r="U25" s="37">
        <f>IFERROR(IF($D25="","",SUMIF('Pre-Test Entry'!$C$3:$AQ$3,Settings!$A$34,'Pre-Test Entry'!$C25:$AQ25)/Settings!$C$34),"")</f>
        <v/>
      </c>
      <c r="V25" s="37">
        <f>IFERROR(IF($G25="","",SUMIF('Post-Test Entry'!$C$3:$AQ$3,Settings!$A$28,'Post-Test Entry'!$C25:$AQ25)/Settings!$C$28),"")</f>
        <v/>
      </c>
      <c r="W25" s="37">
        <f>IFERROR(IF($G25="","",SUMIF('Post-Test Entry'!$C$3:$AQ$3,Settings!$A$29,'Post-Test Entry'!$C25:$AQ25)/Settings!$C$29),"")</f>
        <v/>
      </c>
      <c r="X25" s="37">
        <f>IFERROR(IF($G25="","",SUMIF('Post-Test Entry'!$C$3:$AQ$3,Settings!$A$30,'Post-Test Entry'!$C25:$AQ25)/Settings!$C$30),"")</f>
        <v/>
      </c>
      <c r="Y25" s="37">
        <f>IFERROR(IF($G25="","",SUMIF('Post-Test Entry'!$C$3:$AQ$3,Settings!$A$31,'Post-Test Entry'!$C25:$AQ25)/Settings!$C$31),"")</f>
        <v/>
      </c>
      <c r="Z25" s="37">
        <f>IFERROR(IF($G25="","",SUMIF('Post-Test Entry'!$C$3:$AQ$3,Settings!$A$32,'Post-Test Entry'!$C25:$AQ25)/Settings!$C$32),"")</f>
        <v/>
      </c>
      <c r="AA25" s="37">
        <f>IFERROR(IF($G25="","",SUMIF('Post-Test Entry'!$C$3:$AQ$3,Settings!$A$33,'Post-Test Entry'!$C25:$AQ25)/Settings!$C$33),"")</f>
        <v/>
      </c>
      <c r="AB25" s="37">
        <f>IFERROR(IF($G25="","",SUMIF('Post-Test Entry'!$C$3:$AQ$3,Settings!$A$34,'Post-Test Entry'!$C25:$AQ25)/Settings!$C$34),"")</f>
        <v/>
      </c>
      <c r="AC25" s="37">
        <f>IF(OR(O25="",V25=""),"",V25-O25)</f>
        <v/>
      </c>
      <c r="AD25" s="37">
        <f>IF(OR(P25="",W25=""),"",W25-P25)</f>
        <v/>
      </c>
      <c r="AE25" s="37">
        <f>IF(OR(Q25="",X25=""),"",X25-Q25)</f>
        <v/>
      </c>
      <c r="AF25" s="37">
        <f>IF(OR(R25="",Y25=""),"",Y25-R25)</f>
        <v/>
      </c>
      <c r="AG25" s="37">
        <f>IF(OR(S25="",Z25=""),"",Z25-S25)</f>
        <v/>
      </c>
      <c r="AH25" s="37">
        <f>IF(OR(T25="",AA25=""),"",AA25-T25)</f>
        <v/>
      </c>
      <c r="AI25" s="37">
        <f>IF(OR(U25="",AB25=""),"",AB25-U25)</f>
        <v/>
      </c>
      <c r="AJ25" s="30">
        <f>IFERROR(IF($G25&lt;&gt;"",INDEX($V$4:$AB$4,MATCH(MIN($V25:$AB25),$V25:$AB25,0)),IF($D25&lt;&gt;"",INDEX($O$4:$U$4,MATCH(MIN($O25:$U25),$O25:$U25,0)),"")),"")</f>
        <v/>
      </c>
      <c r="AK25" s="30">
        <f>IFERROR(IF($G25&lt;&gt;"",INDEX($V$4:$AB$4,MATCH(SMALL($V25:$AB25,2),$V25:$AB25,0)),IF($D25&lt;&gt;"",INDEX($O$4:$U$4,MATCH(SMALL($O25:$U25,2),$O25:$U25,0)),"")),"")</f>
        <v/>
      </c>
      <c r="AL25" s="30">
        <f>IF(OR(G25="",Settings!$B$17=""),"",IF(OR(ABS(G25-Settings!$B$5)&lt;=Settings!$B$17,ABS(G25-Settings!$B$6)&lt;=Settings!$B$17,ABS(G25-Settings!$B$7)&lt;=Settings!$B$17),"NEAR CUT",""))</f>
        <v/>
      </c>
      <c r="AM25" s="31">
        <f>IF('Post-Test Entry'!$AR25&lt;&gt;"","Post essay: code "&amp;'Post-Test Entry'!$AR25,IF('Pre-Test Entry'!$AR25&lt;&gt;"","Pre essay: code "&amp;'Pre-Test Entry'!$AR25,""))</f>
        <v/>
      </c>
      <c r="AN25" s="39">
        <f>IFERROR(IF($AJ25="","",INDEX(Settings!$D$28:$D$34,MATCH($AJ25,Settings!$A$28:$A$34,0))),"")</f>
        <v/>
      </c>
      <c r="AP25">
        <f>IF(D25="","",D25^2)</f>
        <v/>
      </c>
      <c r="AQ25">
        <f>IF(G25="","",G25^2)</f>
        <v/>
      </c>
    </row>
    <row r="26">
      <c r="A26" s="30">
        <f>IF(Roster!$A26="","",Roster!$A26)</f>
        <v/>
      </c>
      <c r="B26" s="31">
        <f>IF(Roster!$B26&lt;&gt;"",Roster!$C26&amp;" "&amp;Roster!$B26,"")</f>
        <v/>
      </c>
      <c r="C26" s="30">
        <f>IF(Roster!$B26&lt;&gt;"",Roster!$D26,"")</f>
        <v/>
      </c>
      <c r="D26" s="16">
        <f>IF(AND(Roster!$B26&lt;&gt;"",COUNT('Pre-Test Entry'!$C26:$AQ26)&gt;0),'Pre-Test Entry'!$AS26,"")</f>
        <v/>
      </c>
      <c r="E26" s="37">
        <f>IFERROR(D26/Settings!$B$8,"")</f>
        <v/>
      </c>
      <c r="F26" s="31">
        <f>IF(D26="","",IF(D26&gt;=Settings!$B$7,"Distinguished Learner",IF(D26&gt;=Settings!$B$6,"Proficient Learner",IF(D26&gt;=Settings!$B$5,"Developing Learner","Beginning Learner"))))</f>
        <v/>
      </c>
      <c r="G26" s="16">
        <f>IF(AND(Roster!$B26&lt;&gt;"",COUNT('Post-Test Entry'!$C26:$AQ26)&gt;0),'Post-Test Entry'!$AS26,"")</f>
        <v/>
      </c>
      <c r="H26" s="37">
        <f>IFERROR(G26/Settings!$B$8,"")</f>
        <v/>
      </c>
      <c r="I26" s="31">
        <f>IF(G26="","",IF(G26&gt;=Settings!$B$7,"Distinguished Learner",IF(G26&gt;=Settings!$B$6,"Proficient Learner",IF(G26&gt;=Settings!$B$5,"Developing Learner","Beginning Learner"))))</f>
        <v/>
      </c>
      <c r="J26" s="16">
        <f>IF(OR(D26="",G26=""),"",G26-D26)</f>
        <v/>
      </c>
      <c r="K26" s="37">
        <f>IFERROR(IF(OR(J26="",J26&lt;=0),"",(G26-D26)/(Settings!$B$8-D26)),"")</f>
        <v/>
      </c>
      <c r="L26" s="38">
        <f>IFERROR(IF(J26="","",(G26-D26)/(Settings!$B$17*SQRT(2))),"")</f>
        <v/>
      </c>
      <c r="M26" s="30">
        <f>IF(L26="","",IF(ABS(L26)&gt;=1.96,"Yes","No"))</f>
        <v/>
      </c>
      <c r="N26" s="30">
        <f>IF(J26="","",IF(J26&gt;=Settings!$B$15,"Yes","No"))</f>
        <v/>
      </c>
      <c r="O26" s="37">
        <f>IFERROR(IF($D26="","",SUMIF('Pre-Test Entry'!$C$3:$AQ$3,Settings!$A$28,'Pre-Test Entry'!$C26:$AQ26)/Settings!$C$28),"")</f>
        <v/>
      </c>
      <c r="P26" s="37">
        <f>IFERROR(IF($D26="","",SUMIF('Pre-Test Entry'!$C$3:$AQ$3,Settings!$A$29,'Pre-Test Entry'!$C26:$AQ26)/Settings!$C$29),"")</f>
        <v/>
      </c>
      <c r="Q26" s="37">
        <f>IFERROR(IF($D26="","",SUMIF('Pre-Test Entry'!$C$3:$AQ$3,Settings!$A$30,'Pre-Test Entry'!$C26:$AQ26)/Settings!$C$30),"")</f>
        <v/>
      </c>
      <c r="R26" s="37">
        <f>IFERROR(IF($D26="","",SUMIF('Pre-Test Entry'!$C$3:$AQ$3,Settings!$A$31,'Pre-Test Entry'!$C26:$AQ26)/Settings!$C$31),"")</f>
        <v/>
      </c>
      <c r="S26" s="37">
        <f>IFERROR(IF($D26="","",SUMIF('Pre-Test Entry'!$C$3:$AQ$3,Settings!$A$32,'Pre-Test Entry'!$C26:$AQ26)/Settings!$C$32),"")</f>
        <v/>
      </c>
      <c r="T26" s="37">
        <f>IFERROR(IF($D26="","",SUMIF('Pre-Test Entry'!$C$3:$AQ$3,Settings!$A$33,'Pre-Test Entry'!$C26:$AQ26)/Settings!$C$33),"")</f>
        <v/>
      </c>
      <c r="U26" s="37">
        <f>IFERROR(IF($D26="","",SUMIF('Pre-Test Entry'!$C$3:$AQ$3,Settings!$A$34,'Pre-Test Entry'!$C26:$AQ26)/Settings!$C$34),"")</f>
        <v/>
      </c>
      <c r="V26" s="37">
        <f>IFERROR(IF($G26="","",SUMIF('Post-Test Entry'!$C$3:$AQ$3,Settings!$A$28,'Post-Test Entry'!$C26:$AQ26)/Settings!$C$28),"")</f>
        <v/>
      </c>
      <c r="W26" s="37">
        <f>IFERROR(IF($G26="","",SUMIF('Post-Test Entry'!$C$3:$AQ$3,Settings!$A$29,'Post-Test Entry'!$C26:$AQ26)/Settings!$C$29),"")</f>
        <v/>
      </c>
      <c r="X26" s="37">
        <f>IFERROR(IF($G26="","",SUMIF('Post-Test Entry'!$C$3:$AQ$3,Settings!$A$30,'Post-Test Entry'!$C26:$AQ26)/Settings!$C$30),"")</f>
        <v/>
      </c>
      <c r="Y26" s="37">
        <f>IFERROR(IF($G26="","",SUMIF('Post-Test Entry'!$C$3:$AQ$3,Settings!$A$31,'Post-Test Entry'!$C26:$AQ26)/Settings!$C$31),"")</f>
        <v/>
      </c>
      <c r="Z26" s="37">
        <f>IFERROR(IF($G26="","",SUMIF('Post-Test Entry'!$C$3:$AQ$3,Settings!$A$32,'Post-Test Entry'!$C26:$AQ26)/Settings!$C$32),"")</f>
        <v/>
      </c>
      <c r="AA26" s="37">
        <f>IFERROR(IF($G26="","",SUMIF('Post-Test Entry'!$C$3:$AQ$3,Settings!$A$33,'Post-Test Entry'!$C26:$AQ26)/Settings!$C$33),"")</f>
        <v/>
      </c>
      <c r="AB26" s="37">
        <f>IFERROR(IF($G26="","",SUMIF('Post-Test Entry'!$C$3:$AQ$3,Settings!$A$34,'Post-Test Entry'!$C26:$AQ26)/Settings!$C$34),"")</f>
        <v/>
      </c>
      <c r="AC26" s="37">
        <f>IF(OR(O26="",V26=""),"",V26-O26)</f>
        <v/>
      </c>
      <c r="AD26" s="37">
        <f>IF(OR(P26="",W26=""),"",W26-P26)</f>
        <v/>
      </c>
      <c r="AE26" s="37">
        <f>IF(OR(Q26="",X26=""),"",X26-Q26)</f>
        <v/>
      </c>
      <c r="AF26" s="37">
        <f>IF(OR(R26="",Y26=""),"",Y26-R26)</f>
        <v/>
      </c>
      <c r="AG26" s="37">
        <f>IF(OR(S26="",Z26=""),"",Z26-S26)</f>
        <v/>
      </c>
      <c r="AH26" s="37">
        <f>IF(OR(T26="",AA26=""),"",AA26-T26)</f>
        <v/>
      </c>
      <c r="AI26" s="37">
        <f>IF(OR(U26="",AB26=""),"",AB26-U26)</f>
        <v/>
      </c>
      <c r="AJ26" s="30">
        <f>IFERROR(IF($G26&lt;&gt;"",INDEX($V$4:$AB$4,MATCH(MIN($V26:$AB26),$V26:$AB26,0)),IF($D26&lt;&gt;"",INDEX($O$4:$U$4,MATCH(MIN($O26:$U26),$O26:$U26,0)),"")),"")</f>
        <v/>
      </c>
      <c r="AK26" s="30">
        <f>IFERROR(IF($G26&lt;&gt;"",INDEX($V$4:$AB$4,MATCH(SMALL($V26:$AB26,2),$V26:$AB26,0)),IF($D26&lt;&gt;"",INDEX($O$4:$U$4,MATCH(SMALL($O26:$U26,2),$O26:$U26,0)),"")),"")</f>
        <v/>
      </c>
      <c r="AL26" s="30">
        <f>IF(OR(G26="",Settings!$B$17=""),"",IF(OR(ABS(G26-Settings!$B$5)&lt;=Settings!$B$17,ABS(G26-Settings!$B$6)&lt;=Settings!$B$17,ABS(G26-Settings!$B$7)&lt;=Settings!$B$17),"NEAR CUT",""))</f>
        <v/>
      </c>
      <c r="AM26" s="31">
        <f>IF('Post-Test Entry'!$AR26&lt;&gt;"","Post essay: code "&amp;'Post-Test Entry'!$AR26,IF('Pre-Test Entry'!$AR26&lt;&gt;"","Pre essay: code "&amp;'Pre-Test Entry'!$AR26,""))</f>
        <v/>
      </c>
      <c r="AN26" s="39">
        <f>IFERROR(IF($AJ26="","",INDEX(Settings!$D$28:$D$34,MATCH($AJ26,Settings!$A$28:$A$34,0))),"")</f>
        <v/>
      </c>
      <c r="AP26">
        <f>IF(D26="","",D26^2)</f>
        <v/>
      </c>
      <c r="AQ26">
        <f>IF(G26="","",G26^2)</f>
        <v/>
      </c>
    </row>
    <row r="27">
      <c r="A27" s="30">
        <f>IF(Roster!$A27="","",Roster!$A27)</f>
        <v/>
      </c>
      <c r="B27" s="31">
        <f>IF(Roster!$B27&lt;&gt;"",Roster!$C27&amp;" "&amp;Roster!$B27,"")</f>
        <v/>
      </c>
      <c r="C27" s="30">
        <f>IF(Roster!$B27&lt;&gt;"",Roster!$D27,"")</f>
        <v/>
      </c>
      <c r="D27" s="16">
        <f>IF(AND(Roster!$B27&lt;&gt;"",COUNT('Pre-Test Entry'!$C27:$AQ27)&gt;0),'Pre-Test Entry'!$AS27,"")</f>
        <v/>
      </c>
      <c r="E27" s="37">
        <f>IFERROR(D27/Settings!$B$8,"")</f>
        <v/>
      </c>
      <c r="F27" s="31">
        <f>IF(D27="","",IF(D27&gt;=Settings!$B$7,"Distinguished Learner",IF(D27&gt;=Settings!$B$6,"Proficient Learner",IF(D27&gt;=Settings!$B$5,"Developing Learner","Beginning Learner"))))</f>
        <v/>
      </c>
      <c r="G27" s="16">
        <f>IF(AND(Roster!$B27&lt;&gt;"",COUNT('Post-Test Entry'!$C27:$AQ27)&gt;0),'Post-Test Entry'!$AS27,"")</f>
        <v/>
      </c>
      <c r="H27" s="37">
        <f>IFERROR(G27/Settings!$B$8,"")</f>
        <v/>
      </c>
      <c r="I27" s="31">
        <f>IF(G27="","",IF(G27&gt;=Settings!$B$7,"Distinguished Learner",IF(G27&gt;=Settings!$B$6,"Proficient Learner",IF(G27&gt;=Settings!$B$5,"Developing Learner","Beginning Learner"))))</f>
        <v/>
      </c>
      <c r="J27" s="16">
        <f>IF(OR(D27="",G27=""),"",G27-D27)</f>
        <v/>
      </c>
      <c r="K27" s="37">
        <f>IFERROR(IF(OR(J27="",J27&lt;=0),"",(G27-D27)/(Settings!$B$8-D27)),"")</f>
        <v/>
      </c>
      <c r="L27" s="38">
        <f>IFERROR(IF(J27="","",(G27-D27)/(Settings!$B$17*SQRT(2))),"")</f>
        <v/>
      </c>
      <c r="M27" s="30">
        <f>IF(L27="","",IF(ABS(L27)&gt;=1.96,"Yes","No"))</f>
        <v/>
      </c>
      <c r="N27" s="30">
        <f>IF(J27="","",IF(J27&gt;=Settings!$B$15,"Yes","No"))</f>
        <v/>
      </c>
      <c r="O27" s="37">
        <f>IFERROR(IF($D27="","",SUMIF('Pre-Test Entry'!$C$3:$AQ$3,Settings!$A$28,'Pre-Test Entry'!$C27:$AQ27)/Settings!$C$28),"")</f>
        <v/>
      </c>
      <c r="P27" s="37">
        <f>IFERROR(IF($D27="","",SUMIF('Pre-Test Entry'!$C$3:$AQ$3,Settings!$A$29,'Pre-Test Entry'!$C27:$AQ27)/Settings!$C$29),"")</f>
        <v/>
      </c>
      <c r="Q27" s="37">
        <f>IFERROR(IF($D27="","",SUMIF('Pre-Test Entry'!$C$3:$AQ$3,Settings!$A$30,'Pre-Test Entry'!$C27:$AQ27)/Settings!$C$30),"")</f>
        <v/>
      </c>
      <c r="R27" s="37">
        <f>IFERROR(IF($D27="","",SUMIF('Pre-Test Entry'!$C$3:$AQ$3,Settings!$A$31,'Pre-Test Entry'!$C27:$AQ27)/Settings!$C$31),"")</f>
        <v/>
      </c>
      <c r="S27" s="37">
        <f>IFERROR(IF($D27="","",SUMIF('Pre-Test Entry'!$C$3:$AQ$3,Settings!$A$32,'Pre-Test Entry'!$C27:$AQ27)/Settings!$C$32),"")</f>
        <v/>
      </c>
      <c r="T27" s="37">
        <f>IFERROR(IF($D27="","",SUMIF('Pre-Test Entry'!$C$3:$AQ$3,Settings!$A$33,'Pre-Test Entry'!$C27:$AQ27)/Settings!$C$33),"")</f>
        <v/>
      </c>
      <c r="U27" s="37">
        <f>IFERROR(IF($D27="","",SUMIF('Pre-Test Entry'!$C$3:$AQ$3,Settings!$A$34,'Pre-Test Entry'!$C27:$AQ27)/Settings!$C$34),"")</f>
        <v/>
      </c>
      <c r="V27" s="37">
        <f>IFERROR(IF($G27="","",SUMIF('Post-Test Entry'!$C$3:$AQ$3,Settings!$A$28,'Post-Test Entry'!$C27:$AQ27)/Settings!$C$28),"")</f>
        <v/>
      </c>
      <c r="W27" s="37">
        <f>IFERROR(IF($G27="","",SUMIF('Post-Test Entry'!$C$3:$AQ$3,Settings!$A$29,'Post-Test Entry'!$C27:$AQ27)/Settings!$C$29),"")</f>
        <v/>
      </c>
      <c r="X27" s="37">
        <f>IFERROR(IF($G27="","",SUMIF('Post-Test Entry'!$C$3:$AQ$3,Settings!$A$30,'Post-Test Entry'!$C27:$AQ27)/Settings!$C$30),"")</f>
        <v/>
      </c>
      <c r="Y27" s="37">
        <f>IFERROR(IF($G27="","",SUMIF('Post-Test Entry'!$C$3:$AQ$3,Settings!$A$31,'Post-Test Entry'!$C27:$AQ27)/Settings!$C$31),"")</f>
        <v/>
      </c>
      <c r="Z27" s="37">
        <f>IFERROR(IF($G27="","",SUMIF('Post-Test Entry'!$C$3:$AQ$3,Settings!$A$32,'Post-Test Entry'!$C27:$AQ27)/Settings!$C$32),"")</f>
        <v/>
      </c>
      <c r="AA27" s="37">
        <f>IFERROR(IF($G27="","",SUMIF('Post-Test Entry'!$C$3:$AQ$3,Settings!$A$33,'Post-Test Entry'!$C27:$AQ27)/Settings!$C$33),"")</f>
        <v/>
      </c>
      <c r="AB27" s="37">
        <f>IFERROR(IF($G27="","",SUMIF('Post-Test Entry'!$C$3:$AQ$3,Settings!$A$34,'Post-Test Entry'!$C27:$AQ27)/Settings!$C$34),"")</f>
        <v/>
      </c>
      <c r="AC27" s="37">
        <f>IF(OR(O27="",V27=""),"",V27-O27)</f>
        <v/>
      </c>
      <c r="AD27" s="37">
        <f>IF(OR(P27="",W27=""),"",W27-P27)</f>
        <v/>
      </c>
      <c r="AE27" s="37">
        <f>IF(OR(Q27="",X27=""),"",X27-Q27)</f>
        <v/>
      </c>
      <c r="AF27" s="37">
        <f>IF(OR(R27="",Y27=""),"",Y27-R27)</f>
        <v/>
      </c>
      <c r="AG27" s="37">
        <f>IF(OR(S27="",Z27=""),"",Z27-S27)</f>
        <v/>
      </c>
      <c r="AH27" s="37">
        <f>IF(OR(T27="",AA27=""),"",AA27-T27)</f>
        <v/>
      </c>
      <c r="AI27" s="37">
        <f>IF(OR(U27="",AB27=""),"",AB27-U27)</f>
        <v/>
      </c>
      <c r="AJ27" s="30">
        <f>IFERROR(IF($G27&lt;&gt;"",INDEX($V$4:$AB$4,MATCH(MIN($V27:$AB27),$V27:$AB27,0)),IF($D27&lt;&gt;"",INDEX($O$4:$U$4,MATCH(MIN($O27:$U27),$O27:$U27,0)),"")),"")</f>
        <v/>
      </c>
      <c r="AK27" s="30">
        <f>IFERROR(IF($G27&lt;&gt;"",INDEX($V$4:$AB$4,MATCH(SMALL($V27:$AB27,2),$V27:$AB27,0)),IF($D27&lt;&gt;"",INDEX($O$4:$U$4,MATCH(SMALL($O27:$U27,2),$O27:$U27,0)),"")),"")</f>
        <v/>
      </c>
      <c r="AL27" s="30">
        <f>IF(OR(G27="",Settings!$B$17=""),"",IF(OR(ABS(G27-Settings!$B$5)&lt;=Settings!$B$17,ABS(G27-Settings!$B$6)&lt;=Settings!$B$17,ABS(G27-Settings!$B$7)&lt;=Settings!$B$17),"NEAR CUT",""))</f>
        <v/>
      </c>
      <c r="AM27" s="31">
        <f>IF('Post-Test Entry'!$AR27&lt;&gt;"","Post essay: code "&amp;'Post-Test Entry'!$AR27,IF('Pre-Test Entry'!$AR27&lt;&gt;"","Pre essay: code "&amp;'Pre-Test Entry'!$AR27,""))</f>
        <v/>
      </c>
      <c r="AN27" s="39">
        <f>IFERROR(IF($AJ27="","",INDEX(Settings!$D$28:$D$34,MATCH($AJ27,Settings!$A$28:$A$34,0))),"")</f>
        <v/>
      </c>
      <c r="AP27">
        <f>IF(D27="","",D27^2)</f>
        <v/>
      </c>
      <c r="AQ27">
        <f>IF(G27="","",G27^2)</f>
        <v/>
      </c>
    </row>
    <row r="28">
      <c r="A28" s="30">
        <f>IF(Roster!$A28="","",Roster!$A28)</f>
        <v/>
      </c>
      <c r="B28" s="31">
        <f>IF(Roster!$B28&lt;&gt;"",Roster!$C28&amp;" "&amp;Roster!$B28,"")</f>
        <v/>
      </c>
      <c r="C28" s="30">
        <f>IF(Roster!$B28&lt;&gt;"",Roster!$D28,"")</f>
        <v/>
      </c>
      <c r="D28" s="16">
        <f>IF(AND(Roster!$B28&lt;&gt;"",COUNT('Pre-Test Entry'!$C28:$AQ28)&gt;0),'Pre-Test Entry'!$AS28,"")</f>
        <v/>
      </c>
      <c r="E28" s="37">
        <f>IFERROR(D28/Settings!$B$8,"")</f>
        <v/>
      </c>
      <c r="F28" s="31">
        <f>IF(D28="","",IF(D28&gt;=Settings!$B$7,"Distinguished Learner",IF(D28&gt;=Settings!$B$6,"Proficient Learner",IF(D28&gt;=Settings!$B$5,"Developing Learner","Beginning Learner"))))</f>
        <v/>
      </c>
      <c r="G28" s="16">
        <f>IF(AND(Roster!$B28&lt;&gt;"",COUNT('Post-Test Entry'!$C28:$AQ28)&gt;0),'Post-Test Entry'!$AS28,"")</f>
        <v/>
      </c>
      <c r="H28" s="37">
        <f>IFERROR(G28/Settings!$B$8,"")</f>
        <v/>
      </c>
      <c r="I28" s="31">
        <f>IF(G28="","",IF(G28&gt;=Settings!$B$7,"Distinguished Learner",IF(G28&gt;=Settings!$B$6,"Proficient Learner",IF(G28&gt;=Settings!$B$5,"Developing Learner","Beginning Learner"))))</f>
        <v/>
      </c>
      <c r="J28" s="16">
        <f>IF(OR(D28="",G28=""),"",G28-D28)</f>
        <v/>
      </c>
      <c r="K28" s="37">
        <f>IFERROR(IF(OR(J28="",J28&lt;=0),"",(G28-D28)/(Settings!$B$8-D28)),"")</f>
        <v/>
      </c>
      <c r="L28" s="38">
        <f>IFERROR(IF(J28="","",(G28-D28)/(Settings!$B$17*SQRT(2))),"")</f>
        <v/>
      </c>
      <c r="M28" s="30">
        <f>IF(L28="","",IF(ABS(L28)&gt;=1.96,"Yes","No"))</f>
        <v/>
      </c>
      <c r="N28" s="30">
        <f>IF(J28="","",IF(J28&gt;=Settings!$B$15,"Yes","No"))</f>
        <v/>
      </c>
      <c r="O28" s="37">
        <f>IFERROR(IF($D28="","",SUMIF('Pre-Test Entry'!$C$3:$AQ$3,Settings!$A$28,'Pre-Test Entry'!$C28:$AQ28)/Settings!$C$28),"")</f>
        <v/>
      </c>
      <c r="P28" s="37">
        <f>IFERROR(IF($D28="","",SUMIF('Pre-Test Entry'!$C$3:$AQ$3,Settings!$A$29,'Pre-Test Entry'!$C28:$AQ28)/Settings!$C$29),"")</f>
        <v/>
      </c>
      <c r="Q28" s="37">
        <f>IFERROR(IF($D28="","",SUMIF('Pre-Test Entry'!$C$3:$AQ$3,Settings!$A$30,'Pre-Test Entry'!$C28:$AQ28)/Settings!$C$30),"")</f>
        <v/>
      </c>
      <c r="R28" s="37">
        <f>IFERROR(IF($D28="","",SUMIF('Pre-Test Entry'!$C$3:$AQ$3,Settings!$A$31,'Pre-Test Entry'!$C28:$AQ28)/Settings!$C$31),"")</f>
        <v/>
      </c>
      <c r="S28" s="37">
        <f>IFERROR(IF($D28="","",SUMIF('Pre-Test Entry'!$C$3:$AQ$3,Settings!$A$32,'Pre-Test Entry'!$C28:$AQ28)/Settings!$C$32),"")</f>
        <v/>
      </c>
      <c r="T28" s="37">
        <f>IFERROR(IF($D28="","",SUMIF('Pre-Test Entry'!$C$3:$AQ$3,Settings!$A$33,'Pre-Test Entry'!$C28:$AQ28)/Settings!$C$33),"")</f>
        <v/>
      </c>
      <c r="U28" s="37">
        <f>IFERROR(IF($D28="","",SUMIF('Pre-Test Entry'!$C$3:$AQ$3,Settings!$A$34,'Pre-Test Entry'!$C28:$AQ28)/Settings!$C$34),"")</f>
        <v/>
      </c>
      <c r="V28" s="37">
        <f>IFERROR(IF($G28="","",SUMIF('Post-Test Entry'!$C$3:$AQ$3,Settings!$A$28,'Post-Test Entry'!$C28:$AQ28)/Settings!$C$28),"")</f>
        <v/>
      </c>
      <c r="W28" s="37">
        <f>IFERROR(IF($G28="","",SUMIF('Post-Test Entry'!$C$3:$AQ$3,Settings!$A$29,'Post-Test Entry'!$C28:$AQ28)/Settings!$C$29),"")</f>
        <v/>
      </c>
      <c r="X28" s="37">
        <f>IFERROR(IF($G28="","",SUMIF('Post-Test Entry'!$C$3:$AQ$3,Settings!$A$30,'Post-Test Entry'!$C28:$AQ28)/Settings!$C$30),"")</f>
        <v/>
      </c>
      <c r="Y28" s="37">
        <f>IFERROR(IF($G28="","",SUMIF('Post-Test Entry'!$C$3:$AQ$3,Settings!$A$31,'Post-Test Entry'!$C28:$AQ28)/Settings!$C$31),"")</f>
        <v/>
      </c>
      <c r="Z28" s="37">
        <f>IFERROR(IF($G28="","",SUMIF('Post-Test Entry'!$C$3:$AQ$3,Settings!$A$32,'Post-Test Entry'!$C28:$AQ28)/Settings!$C$32),"")</f>
        <v/>
      </c>
      <c r="AA28" s="37">
        <f>IFERROR(IF($G28="","",SUMIF('Post-Test Entry'!$C$3:$AQ$3,Settings!$A$33,'Post-Test Entry'!$C28:$AQ28)/Settings!$C$33),"")</f>
        <v/>
      </c>
      <c r="AB28" s="37">
        <f>IFERROR(IF($G28="","",SUMIF('Post-Test Entry'!$C$3:$AQ$3,Settings!$A$34,'Post-Test Entry'!$C28:$AQ28)/Settings!$C$34),"")</f>
        <v/>
      </c>
      <c r="AC28" s="37">
        <f>IF(OR(O28="",V28=""),"",V28-O28)</f>
        <v/>
      </c>
      <c r="AD28" s="37">
        <f>IF(OR(P28="",W28=""),"",W28-P28)</f>
        <v/>
      </c>
      <c r="AE28" s="37">
        <f>IF(OR(Q28="",X28=""),"",X28-Q28)</f>
        <v/>
      </c>
      <c r="AF28" s="37">
        <f>IF(OR(R28="",Y28=""),"",Y28-R28)</f>
        <v/>
      </c>
      <c r="AG28" s="37">
        <f>IF(OR(S28="",Z28=""),"",Z28-S28)</f>
        <v/>
      </c>
      <c r="AH28" s="37">
        <f>IF(OR(T28="",AA28=""),"",AA28-T28)</f>
        <v/>
      </c>
      <c r="AI28" s="37">
        <f>IF(OR(U28="",AB28=""),"",AB28-U28)</f>
        <v/>
      </c>
      <c r="AJ28" s="30">
        <f>IFERROR(IF($G28&lt;&gt;"",INDEX($V$4:$AB$4,MATCH(MIN($V28:$AB28),$V28:$AB28,0)),IF($D28&lt;&gt;"",INDEX($O$4:$U$4,MATCH(MIN($O28:$U28),$O28:$U28,0)),"")),"")</f>
        <v/>
      </c>
      <c r="AK28" s="30">
        <f>IFERROR(IF($G28&lt;&gt;"",INDEX($V$4:$AB$4,MATCH(SMALL($V28:$AB28,2),$V28:$AB28,0)),IF($D28&lt;&gt;"",INDEX($O$4:$U$4,MATCH(SMALL($O28:$U28,2),$O28:$U28,0)),"")),"")</f>
        <v/>
      </c>
      <c r="AL28" s="30">
        <f>IF(OR(G28="",Settings!$B$17=""),"",IF(OR(ABS(G28-Settings!$B$5)&lt;=Settings!$B$17,ABS(G28-Settings!$B$6)&lt;=Settings!$B$17,ABS(G28-Settings!$B$7)&lt;=Settings!$B$17),"NEAR CUT",""))</f>
        <v/>
      </c>
      <c r="AM28" s="31">
        <f>IF('Post-Test Entry'!$AR28&lt;&gt;"","Post essay: code "&amp;'Post-Test Entry'!$AR28,IF('Pre-Test Entry'!$AR28&lt;&gt;"","Pre essay: code "&amp;'Pre-Test Entry'!$AR28,""))</f>
        <v/>
      </c>
      <c r="AN28" s="39">
        <f>IFERROR(IF($AJ28="","",INDEX(Settings!$D$28:$D$34,MATCH($AJ28,Settings!$A$28:$A$34,0))),"")</f>
        <v/>
      </c>
      <c r="AP28">
        <f>IF(D28="","",D28^2)</f>
        <v/>
      </c>
      <c r="AQ28">
        <f>IF(G28="","",G28^2)</f>
        <v/>
      </c>
    </row>
    <row r="29">
      <c r="A29" s="30">
        <f>IF(Roster!$A29="","",Roster!$A29)</f>
        <v/>
      </c>
      <c r="B29" s="31">
        <f>IF(Roster!$B29&lt;&gt;"",Roster!$C29&amp;" "&amp;Roster!$B29,"")</f>
        <v/>
      </c>
      <c r="C29" s="30">
        <f>IF(Roster!$B29&lt;&gt;"",Roster!$D29,"")</f>
        <v/>
      </c>
      <c r="D29" s="16">
        <f>IF(AND(Roster!$B29&lt;&gt;"",COUNT('Pre-Test Entry'!$C29:$AQ29)&gt;0),'Pre-Test Entry'!$AS29,"")</f>
        <v/>
      </c>
      <c r="E29" s="37">
        <f>IFERROR(D29/Settings!$B$8,"")</f>
        <v/>
      </c>
      <c r="F29" s="31">
        <f>IF(D29="","",IF(D29&gt;=Settings!$B$7,"Distinguished Learner",IF(D29&gt;=Settings!$B$6,"Proficient Learner",IF(D29&gt;=Settings!$B$5,"Developing Learner","Beginning Learner"))))</f>
        <v/>
      </c>
      <c r="G29" s="16">
        <f>IF(AND(Roster!$B29&lt;&gt;"",COUNT('Post-Test Entry'!$C29:$AQ29)&gt;0),'Post-Test Entry'!$AS29,"")</f>
        <v/>
      </c>
      <c r="H29" s="37">
        <f>IFERROR(G29/Settings!$B$8,"")</f>
        <v/>
      </c>
      <c r="I29" s="31">
        <f>IF(G29="","",IF(G29&gt;=Settings!$B$7,"Distinguished Learner",IF(G29&gt;=Settings!$B$6,"Proficient Learner",IF(G29&gt;=Settings!$B$5,"Developing Learner","Beginning Learner"))))</f>
        <v/>
      </c>
      <c r="J29" s="16">
        <f>IF(OR(D29="",G29=""),"",G29-D29)</f>
        <v/>
      </c>
      <c r="K29" s="37">
        <f>IFERROR(IF(OR(J29="",J29&lt;=0),"",(G29-D29)/(Settings!$B$8-D29)),"")</f>
        <v/>
      </c>
      <c r="L29" s="38">
        <f>IFERROR(IF(J29="","",(G29-D29)/(Settings!$B$17*SQRT(2))),"")</f>
        <v/>
      </c>
      <c r="M29" s="30">
        <f>IF(L29="","",IF(ABS(L29)&gt;=1.96,"Yes","No"))</f>
        <v/>
      </c>
      <c r="N29" s="30">
        <f>IF(J29="","",IF(J29&gt;=Settings!$B$15,"Yes","No"))</f>
        <v/>
      </c>
      <c r="O29" s="37">
        <f>IFERROR(IF($D29="","",SUMIF('Pre-Test Entry'!$C$3:$AQ$3,Settings!$A$28,'Pre-Test Entry'!$C29:$AQ29)/Settings!$C$28),"")</f>
        <v/>
      </c>
      <c r="P29" s="37">
        <f>IFERROR(IF($D29="","",SUMIF('Pre-Test Entry'!$C$3:$AQ$3,Settings!$A$29,'Pre-Test Entry'!$C29:$AQ29)/Settings!$C$29),"")</f>
        <v/>
      </c>
      <c r="Q29" s="37">
        <f>IFERROR(IF($D29="","",SUMIF('Pre-Test Entry'!$C$3:$AQ$3,Settings!$A$30,'Pre-Test Entry'!$C29:$AQ29)/Settings!$C$30),"")</f>
        <v/>
      </c>
      <c r="R29" s="37">
        <f>IFERROR(IF($D29="","",SUMIF('Pre-Test Entry'!$C$3:$AQ$3,Settings!$A$31,'Pre-Test Entry'!$C29:$AQ29)/Settings!$C$31),"")</f>
        <v/>
      </c>
      <c r="S29" s="37">
        <f>IFERROR(IF($D29="","",SUMIF('Pre-Test Entry'!$C$3:$AQ$3,Settings!$A$32,'Pre-Test Entry'!$C29:$AQ29)/Settings!$C$32),"")</f>
        <v/>
      </c>
      <c r="T29" s="37">
        <f>IFERROR(IF($D29="","",SUMIF('Pre-Test Entry'!$C$3:$AQ$3,Settings!$A$33,'Pre-Test Entry'!$C29:$AQ29)/Settings!$C$33),"")</f>
        <v/>
      </c>
      <c r="U29" s="37">
        <f>IFERROR(IF($D29="","",SUMIF('Pre-Test Entry'!$C$3:$AQ$3,Settings!$A$34,'Pre-Test Entry'!$C29:$AQ29)/Settings!$C$34),"")</f>
        <v/>
      </c>
      <c r="V29" s="37">
        <f>IFERROR(IF($G29="","",SUMIF('Post-Test Entry'!$C$3:$AQ$3,Settings!$A$28,'Post-Test Entry'!$C29:$AQ29)/Settings!$C$28),"")</f>
        <v/>
      </c>
      <c r="W29" s="37">
        <f>IFERROR(IF($G29="","",SUMIF('Post-Test Entry'!$C$3:$AQ$3,Settings!$A$29,'Post-Test Entry'!$C29:$AQ29)/Settings!$C$29),"")</f>
        <v/>
      </c>
      <c r="X29" s="37">
        <f>IFERROR(IF($G29="","",SUMIF('Post-Test Entry'!$C$3:$AQ$3,Settings!$A$30,'Post-Test Entry'!$C29:$AQ29)/Settings!$C$30),"")</f>
        <v/>
      </c>
      <c r="Y29" s="37">
        <f>IFERROR(IF($G29="","",SUMIF('Post-Test Entry'!$C$3:$AQ$3,Settings!$A$31,'Post-Test Entry'!$C29:$AQ29)/Settings!$C$31),"")</f>
        <v/>
      </c>
      <c r="Z29" s="37">
        <f>IFERROR(IF($G29="","",SUMIF('Post-Test Entry'!$C$3:$AQ$3,Settings!$A$32,'Post-Test Entry'!$C29:$AQ29)/Settings!$C$32),"")</f>
        <v/>
      </c>
      <c r="AA29" s="37">
        <f>IFERROR(IF($G29="","",SUMIF('Post-Test Entry'!$C$3:$AQ$3,Settings!$A$33,'Post-Test Entry'!$C29:$AQ29)/Settings!$C$33),"")</f>
        <v/>
      </c>
      <c r="AB29" s="37">
        <f>IFERROR(IF($G29="","",SUMIF('Post-Test Entry'!$C$3:$AQ$3,Settings!$A$34,'Post-Test Entry'!$C29:$AQ29)/Settings!$C$34),"")</f>
        <v/>
      </c>
      <c r="AC29" s="37">
        <f>IF(OR(O29="",V29=""),"",V29-O29)</f>
        <v/>
      </c>
      <c r="AD29" s="37">
        <f>IF(OR(P29="",W29=""),"",W29-P29)</f>
        <v/>
      </c>
      <c r="AE29" s="37">
        <f>IF(OR(Q29="",X29=""),"",X29-Q29)</f>
        <v/>
      </c>
      <c r="AF29" s="37">
        <f>IF(OR(R29="",Y29=""),"",Y29-R29)</f>
        <v/>
      </c>
      <c r="AG29" s="37">
        <f>IF(OR(S29="",Z29=""),"",Z29-S29)</f>
        <v/>
      </c>
      <c r="AH29" s="37">
        <f>IF(OR(T29="",AA29=""),"",AA29-T29)</f>
        <v/>
      </c>
      <c r="AI29" s="37">
        <f>IF(OR(U29="",AB29=""),"",AB29-U29)</f>
        <v/>
      </c>
      <c r="AJ29" s="30">
        <f>IFERROR(IF($G29&lt;&gt;"",INDEX($V$4:$AB$4,MATCH(MIN($V29:$AB29),$V29:$AB29,0)),IF($D29&lt;&gt;"",INDEX($O$4:$U$4,MATCH(MIN($O29:$U29),$O29:$U29,0)),"")),"")</f>
        <v/>
      </c>
      <c r="AK29" s="30">
        <f>IFERROR(IF($G29&lt;&gt;"",INDEX($V$4:$AB$4,MATCH(SMALL($V29:$AB29,2),$V29:$AB29,0)),IF($D29&lt;&gt;"",INDEX($O$4:$U$4,MATCH(SMALL($O29:$U29,2),$O29:$U29,0)),"")),"")</f>
        <v/>
      </c>
      <c r="AL29" s="30">
        <f>IF(OR(G29="",Settings!$B$17=""),"",IF(OR(ABS(G29-Settings!$B$5)&lt;=Settings!$B$17,ABS(G29-Settings!$B$6)&lt;=Settings!$B$17,ABS(G29-Settings!$B$7)&lt;=Settings!$B$17),"NEAR CUT",""))</f>
        <v/>
      </c>
      <c r="AM29" s="31">
        <f>IF('Post-Test Entry'!$AR29&lt;&gt;"","Post essay: code "&amp;'Post-Test Entry'!$AR29,IF('Pre-Test Entry'!$AR29&lt;&gt;"","Pre essay: code "&amp;'Pre-Test Entry'!$AR29,""))</f>
        <v/>
      </c>
      <c r="AN29" s="39">
        <f>IFERROR(IF($AJ29="","",INDEX(Settings!$D$28:$D$34,MATCH($AJ29,Settings!$A$28:$A$34,0))),"")</f>
        <v/>
      </c>
      <c r="AP29">
        <f>IF(D29="","",D29^2)</f>
        <v/>
      </c>
      <c r="AQ29">
        <f>IF(G29="","",G29^2)</f>
        <v/>
      </c>
    </row>
    <row r="30">
      <c r="A30" s="30">
        <f>IF(Roster!$A30="","",Roster!$A30)</f>
        <v/>
      </c>
      <c r="B30" s="31">
        <f>IF(Roster!$B30&lt;&gt;"",Roster!$C30&amp;" "&amp;Roster!$B30,"")</f>
        <v/>
      </c>
      <c r="C30" s="30">
        <f>IF(Roster!$B30&lt;&gt;"",Roster!$D30,"")</f>
        <v/>
      </c>
      <c r="D30" s="16">
        <f>IF(AND(Roster!$B30&lt;&gt;"",COUNT('Pre-Test Entry'!$C30:$AQ30)&gt;0),'Pre-Test Entry'!$AS30,"")</f>
        <v/>
      </c>
      <c r="E30" s="37">
        <f>IFERROR(D30/Settings!$B$8,"")</f>
        <v/>
      </c>
      <c r="F30" s="31">
        <f>IF(D30="","",IF(D30&gt;=Settings!$B$7,"Distinguished Learner",IF(D30&gt;=Settings!$B$6,"Proficient Learner",IF(D30&gt;=Settings!$B$5,"Developing Learner","Beginning Learner"))))</f>
        <v/>
      </c>
      <c r="G30" s="16">
        <f>IF(AND(Roster!$B30&lt;&gt;"",COUNT('Post-Test Entry'!$C30:$AQ30)&gt;0),'Post-Test Entry'!$AS30,"")</f>
        <v/>
      </c>
      <c r="H30" s="37">
        <f>IFERROR(G30/Settings!$B$8,"")</f>
        <v/>
      </c>
      <c r="I30" s="31">
        <f>IF(G30="","",IF(G30&gt;=Settings!$B$7,"Distinguished Learner",IF(G30&gt;=Settings!$B$6,"Proficient Learner",IF(G30&gt;=Settings!$B$5,"Developing Learner","Beginning Learner"))))</f>
        <v/>
      </c>
      <c r="J30" s="16">
        <f>IF(OR(D30="",G30=""),"",G30-D30)</f>
        <v/>
      </c>
      <c r="K30" s="37">
        <f>IFERROR(IF(OR(J30="",J30&lt;=0),"",(G30-D30)/(Settings!$B$8-D30)),"")</f>
        <v/>
      </c>
      <c r="L30" s="38">
        <f>IFERROR(IF(J30="","",(G30-D30)/(Settings!$B$17*SQRT(2))),"")</f>
        <v/>
      </c>
      <c r="M30" s="30">
        <f>IF(L30="","",IF(ABS(L30)&gt;=1.96,"Yes","No"))</f>
        <v/>
      </c>
      <c r="N30" s="30">
        <f>IF(J30="","",IF(J30&gt;=Settings!$B$15,"Yes","No"))</f>
        <v/>
      </c>
      <c r="O30" s="37">
        <f>IFERROR(IF($D30="","",SUMIF('Pre-Test Entry'!$C$3:$AQ$3,Settings!$A$28,'Pre-Test Entry'!$C30:$AQ30)/Settings!$C$28),"")</f>
        <v/>
      </c>
      <c r="P30" s="37">
        <f>IFERROR(IF($D30="","",SUMIF('Pre-Test Entry'!$C$3:$AQ$3,Settings!$A$29,'Pre-Test Entry'!$C30:$AQ30)/Settings!$C$29),"")</f>
        <v/>
      </c>
      <c r="Q30" s="37">
        <f>IFERROR(IF($D30="","",SUMIF('Pre-Test Entry'!$C$3:$AQ$3,Settings!$A$30,'Pre-Test Entry'!$C30:$AQ30)/Settings!$C$30),"")</f>
        <v/>
      </c>
      <c r="R30" s="37">
        <f>IFERROR(IF($D30="","",SUMIF('Pre-Test Entry'!$C$3:$AQ$3,Settings!$A$31,'Pre-Test Entry'!$C30:$AQ30)/Settings!$C$31),"")</f>
        <v/>
      </c>
      <c r="S30" s="37">
        <f>IFERROR(IF($D30="","",SUMIF('Pre-Test Entry'!$C$3:$AQ$3,Settings!$A$32,'Pre-Test Entry'!$C30:$AQ30)/Settings!$C$32),"")</f>
        <v/>
      </c>
      <c r="T30" s="37">
        <f>IFERROR(IF($D30="","",SUMIF('Pre-Test Entry'!$C$3:$AQ$3,Settings!$A$33,'Pre-Test Entry'!$C30:$AQ30)/Settings!$C$33),"")</f>
        <v/>
      </c>
      <c r="U30" s="37">
        <f>IFERROR(IF($D30="","",SUMIF('Pre-Test Entry'!$C$3:$AQ$3,Settings!$A$34,'Pre-Test Entry'!$C30:$AQ30)/Settings!$C$34),"")</f>
        <v/>
      </c>
      <c r="V30" s="37">
        <f>IFERROR(IF($G30="","",SUMIF('Post-Test Entry'!$C$3:$AQ$3,Settings!$A$28,'Post-Test Entry'!$C30:$AQ30)/Settings!$C$28),"")</f>
        <v/>
      </c>
      <c r="W30" s="37">
        <f>IFERROR(IF($G30="","",SUMIF('Post-Test Entry'!$C$3:$AQ$3,Settings!$A$29,'Post-Test Entry'!$C30:$AQ30)/Settings!$C$29),"")</f>
        <v/>
      </c>
      <c r="X30" s="37">
        <f>IFERROR(IF($G30="","",SUMIF('Post-Test Entry'!$C$3:$AQ$3,Settings!$A$30,'Post-Test Entry'!$C30:$AQ30)/Settings!$C$30),"")</f>
        <v/>
      </c>
      <c r="Y30" s="37">
        <f>IFERROR(IF($G30="","",SUMIF('Post-Test Entry'!$C$3:$AQ$3,Settings!$A$31,'Post-Test Entry'!$C30:$AQ30)/Settings!$C$31),"")</f>
        <v/>
      </c>
      <c r="Z30" s="37">
        <f>IFERROR(IF($G30="","",SUMIF('Post-Test Entry'!$C$3:$AQ$3,Settings!$A$32,'Post-Test Entry'!$C30:$AQ30)/Settings!$C$32),"")</f>
        <v/>
      </c>
      <c r="AA30" s="37">
        <f>IFERROR(IF($G30="","",SUMIF('Post-Test Entry'!$C$3:$AQ$3,Settings!$A$33,'Post-Test Entry'!$C30:$AQ30)/Settings!$C$33),"")</f>
        <v/>
      </c>
      <c r="AB30" s="37">
        <f>IFERROR(IF($G30="","",SUMIF('Post-Test Entry'!$C$3:$AQ$3,Settings!$A$34,'Post-Test Entry'!$C30:$AQ30)/Settings!$C$34),"")</f>
        <v/>
      </c>
      <c r="AC30" s="37">
        <f>IF(OR(O30="",V30=""),"",V30-O30)</f>
        <v/>
      </c>
      <c r="AD30" s="37">
        <f>IF(OR(P30="",W30=""),"",W30-P30)</f>
        <v/>
      </c>
      <c r="AE30" s="37">
        <f>IF(OR(Q30="",X30=""),"",X30-Q30)</f>
        <v/>
      </c>
      <c r="AF30" s="37">
        <f>IF(OR(R30="",Y30=""),"",Y30-R30)</f>
        <v/>
      </c>
      <c r="AG30" s="37">
        <f>IF(OR(S30="",Z30=""),"",Z30-S30)</f>
        <v/>
      </c>
      <c r="AH30" s="37">
        <f>IF(OR(T30="",AA30=""),"",AA30-T30)</f>
        <v/>
      </c>
      <c r="AI30" s="37">
        <f>IF(OR(U30="",AB30=""),"",AB30-U30)</f>
        <v/>
      </c>
      <c r="AJ30" s="30">
        <f>IFERROR(IF($G30&lt;&gt;"",INDEX($V$4:$AB$4,MATCH(MIN($V30:$AB30),$V30:$AB30,0)),IF($D30&lt;&gt;"",INDEX($O$4:$U$4,MATCH(MIN($O30:$U30),$O30:$U30,0)),"")),"")</f>
        <v/>
      </c>
      <c r="AK30" s="30">
        <f>IFERROR(IF($G30&lt;&gt;"",INDEX($V$4:$AB$4,MATCH(SMALL($V30:$AB30,2),$V30:$AB30,0)),IF($D30&lt;&gt;"",INDEX($O$4:$U$4,MATCH(SMALL($O30:$U30,2),$O30:$U30,0)),"")),"")</f>
        <v/>
      </c>
      <c r="AL30" s="30">
        <f>IF(OR(G30="",Settings!$B$17=""),"",IF(OR(ABS(G30-Settings!$B$5)&lt;=Settings!$B$17,ABS(G30-Settings!$B$6)&lt;=Settings!$B$17,ABS(G30-Settings!$B$7)&lt;=Settings!$B$17),"NEAR CUT",""))</f>
        <v/>
      </c>
      <c r="AM30" s="31">
        <f>IF('Post-Test Entry'!$AR30&lt;&gt;"","Post essay: code "&amp;'Post-Test Entry'!$AR30,IF('Pre-Test Entry'!$AR30&lt;&gt;"","Pre essay: code "&amp;'Pre-Test Entry'!$AR30,""))</f>
        <v/>
      </c>
      <c r="AN30" s="39">
        <f>IFERROR(IF($AJ30="","",INDEX(Settings!$D$28:$D$34,MATCH($AJ30,Settings!$A$28:$A$34,0))),"")</f>
        <v/>
      </c>
      <c r="AP30">
        <f>IF(D30="","",D30^2)</f>
        <v/>
      </c>
      <c r="AQ30">
        <f>IF(G30="","",G30^2)</f>
        <v/>
      </c>
    </row>
    <row r="31">
      <c r="A31" s="30">
        <f>IF(Roster!$A31="","",Roster!$A31)</f>
        <v/>
      </c>
      <c r="B31" s="31">
        <f>IF(Roster!$B31&lt;&gt;"",Roster!$C31&amp;" "&amp;Roster!$B31,"")</f>
        <v/>
      </c>
      <c r="C31" s="30">
        <f>IF(Roster!$B31&lt;&gt;"",Roster!$D31,"")</f>
        <v/>
      </c>
      <c r="D31" s="16">
        <f>IF(AND(Roster!$B31&lt;&gt;"",COUNT('Pre-Test Entry'!$C31:$AQ31)&gt;0),'Pre-Test Entry'!$AS31,"")</f>
        <v/>
      </c>
      <c r="E31" s="37">
        <f>IFERROR(D31/Settings!$B$8,"")</f>
        <v/>
      </c>
      <c r="F31" s="31">
        <f>IF(D31="","",IF(D31&gt;=Settings!$B$7,"Distinguished Learner",IF(D31&gt;=Settings!$B$6,"Proficient Learner",IF(D31&gt;=Settings!$B$5,"Developing Learner","Beginning Learner"))))</f>
        <v/>
      </c>
      <c r="G31" s="16">
        <f>IF(AND(Roster!$B31&lt;&gt;"",COUNT('Post-Test Entry'!$C31:$AQ31)&gt;0),'Post-Test Entry'!$AS31,"")</f>
        <v/>
      </c>
      <c r="H31" s="37">
        <f>IFERROR(G31/Settings!$B$8,"")</f>
        <v/>
      </c>
      <c r="I31" s="31">
        <f>IF(G31="","",IF(G31&gt;=Settings!$B$7,"Distinguished Learner",IF(G31&gt;=Settings!$B$6,"Proficient Learner",IF(G31&gt;=Settings!$B$5,"Developing Learner","Beginning Learner"))))</f>
        <v/>
      </c>
      <c r="J31" s="16">
        <f>IF(OR(D31="",G31=""),"",G31-D31)</f>
        <v/>
      </c>
      <c r="K31" s="37">
        <f>IFERROR(IF(OR(J31="",J31&lt;=0),"",(G31-D31)/(Settings!$B$8-D31)),"")</f>
        <v/>
      </c>
      <c r="L31" s="38">
        <f>IFERROR(IF(J31="","",(G31-D31)/(Settings!$B$17*SQRT(2))),"")</f>
        <v/>
      </c>
      <c r="M31" s="30">
        <f>IF(L31="","",IF(ABS(L31)&gt;=1.96,"Yes","No"))</f>
        <v/>
      </c>
      <c r="N31" s="30">
        <f>IF(J31="","",IF(J31&gt;=Settings!$B$15,"Yes","No"))</f>
        <v/>
      </c>
      <c r="O31" s="37">
        <f>IFERROR(IF($D31="","",SUMIF('Pre-Test Entry'!$C$3:$AQ$3,Settings!$A$28,'Pre-Test Entry'!$C31:$AQ31)/Settings!$C$28),"")</f>
        <v/>
      </c>
      <c r="P31" s="37">
        <f>IFERROR(IF($D31="","",SUMIF('Pre-Test Entry'!$C$3:$AQ$3,Settings!$A$29,'Pre-Test Entry'!$C31:$AQ31)/Settings!$C$29),"")</f>
        <v/>
      </c>
      <c r="Q31" s="37">
        <f>IFERROR(IF($D31="","",SUMIF('Pre-Test Entry'!$C$3:$AQ$3,Settings!$A$30,'Pre-Test Entry'!$C31:$AQ31)/Settings!$C$30),"")</f>
        <v/>
      </c>
      <c r="R31" s="37">
        <f>IFERROR(IF($D31="","",SUMIF('Pre-Test Entry'!$C$3:$AQ$3,Settings!$A$31,'Pre-Test Entry'!$C31:$AQ31)/Settings!$C$31),"")</f>
        <v/>
      </c>
      <c r="S31" s="37">
        <f>IFERROR(IF($D31="","",SUMIF('Pre-Test Entry'!$C$3:$AQ$3,Settings!$A$32,'Pre-Test Entry'!$C31:$AQ31)/Settings!$C$32),"")</f>
        <v/>
      </c>
      <c r="T31" s="37">
        <f>IFERROR(IF($D31="","",SUMIF('Pre-Test Entry'!$C$3:$AQ$3,Settings!$A$33,'Pre-Test Entry'!$C31:$AQ31)/Settings!$C$33),"")</f>
        <v/>
      </c>
      <c r="U31" s="37">
        <f>IFERROR(IF($D31="","",SUMIF('Pre-Test Entry'!$C$3:$AQ$3,Settings!$A$34,'Pre-Test Entry'!$C31:$AQ31)/Settings!$C$34),"")</f>
        <v/>
      </c>
      <c r="V31" s="37">
        <f>IFERROR(IF($G31="","",SUMIF('Post-Test Entry'!$C$3:$AQ$3,Settings!$A$28,'Post-Test Entry'!$C31:$AQ31)/Settings!$C$28),"")</f>
        <v/>
      </c>
      <c r="W31" s="37">
        <f>IFERROR(IF($G31="","",SUMIF('Post-Test Entry'!$C$3:$AQ$3,Settings!$A$29,'Post-Test Entry'!$C31:$AQ31)/Settings!$C$29),"")</f>
        <v/>
      </c>
      <c r="X31" s="37">
        <f>IFERROR(IF($G31="","",SUMIF('Post-Test Entry'!$C$3:$AQ$3,Settings!$A$30,'Post-Test Entry'!$C31:$AQ31)/Settings!$C$30),"")</f>
        <v/>
      </c>
      <c r="Y31" s="37">
        <f>IFERROR(IF($G31="","",SUMIF('Post-Test Entry'!$C$3:$AQ$3,Settings!$A$31,'Post-Test Entry'!$C31:$AQ31)/Settings!$C$31),"")</f>
        <v/>
      </c>
      <c r="Z31" s="37">
        <f>IFERROR(IF($G31="","",SUMIF('Post-Test Entry'!$C$3:$AQ$3,Settings!$A$32,'Post-Test Entry'!$C31:$AQ31)/Settings!$C$32),"")</f>
        <v/>
      </c>
      <c r="AA31" s="37">
        <f>IFERROR(IF($G31="","",SUMIF('Post-Test Entry'!$C$3:$AQ$3,Settings!$A$33,'Post-Test Entry'!$C31:$AQ31)/Settings!$C$33),"")</f>
        <v/>
      </c>
      <c r="AB31" s="37">
        <f>IFERROR(IF($G31="","",SUMIF('Post-Test Entry'!$C$3:$AQ$3,Settings!$A$34,'Post-Test Entry'!$C31:$AQ31)/Settings!$C$34),"")</f>
        <v/>
      </c>
      <c r="AC31" s="37">
        <f>IF(OR(O31="",V31=""),"",V31-O31)</f>
        <v/>
      </c>
      <c r="AD31" s="37">
        <f>IF(OR(P31="",W31=""),"",W31-P31)</f>
        <v/>
      </c>
      <c r="AE31" s="37">
        <f>IF(OR(Q31="",X31=""),"",X31-Q31)</f>
        <v/>
      </c>
      <c r="AF31" s="37">
        <f>IF(OR(R31="",Y31=""),"",Y31-R31)</f>
        <v/>
      </c>
      <c r="AG31" s="37">
        <f>IF(OR(S31="",Z31=""),"",Z31-S31)</f>
        <v/>
      </c>
      <c r="AH31" s="37">
        <f>IF(OR(T31="",AA31=""),"",AA31-T31)</f>
        <v/>
      </c>
      <c r="AI31" s="37">
        <f>IF(OR(U31="",AB31=""),"",AB31-U31)</f>
        <v/>
      </c>
      <c r="AJ31" s="30">
        <f>IFERROR(IF($G31&lt;&gt;"",INDEX($V$4:$AB$4,MATCH(MIN($V31:$AB31),$V31:$AB31,0)),IF($D31&lt;&gt;"",INDEX($O$4:$U$4,MATCH(MIN($O31:$U31),$O31:$U31,0)),"")),"")</f>
        <v/>
      </c>
      <c r="AK31" s="30">
        <f>IFERROR(IF($G31&lt;&gt;"",INDEX($V$4:$AB$4,MATCH(SMALL($V31:$AB31,2),$V31:$AB31,0)),IF($D31&lt;&gt;"",INDEX($O$4:$U$4,MATCH(SMALL($O31:$U31,2),$O31:$U31,0)),"")),"")</f>
        <v/>
      </c>
      <c r="AL31" s="30">
        <f>IF(OR(G31="",Settings!$B$17=""),"",IF(OR(ABS(G31-Settings!$B$5)&lt;=Settings!$B$17,ABS(G31-Settings!$B$6)&lt;=Settings!$B$17,ABS(G31-Settings!$B$7)&lt;=Settings!$B$17),"NEAR CUT",""))</f>
        <v/>
      </c>
      <c r="AM31" s="31">
        <f>IF('Post-Test Entry'!$AR31&lt;&gt;"","Post essay: code "&amp;'Post-Test Entry'!$AR31,IF('Pre-Test Entry'!$AR31&lt;&gt;"","Pre essay: code "&amp;'Pre-Test Entry'!$AR31,""))</f>
        <v/>
      </c>
      <c r="AN31" s="39">
        <f>IFERROR(IF($AJ31="","",INDEX(Settings!$D$28:$D$34,MATCH($AJ31,Settings!$A$28:$A$34,0))),"")</f>
        <v/>
      </c>
      <c r="AP31">
        <f>IF(D31="","",D31^2)</f>
        <v/>
      </c>
      <c r="AQ31">
        <f>IF(G31="","",G31^2)</f>
        <v/>
      </c>
    </row>
    <row r="32">
      <c r="A32" s="30">
        <f>IF(Roster!$A32="","",Roster!$A32)</f>
        <v/>
      </c>
      <c r="B32" s="31">
        <f>IF(Roster!$B32&lt;&gt;"",Roster!$C32&amp;" "&amp;Roster!$B32,"")</f>
        <v/>
      </c>
      <c r="C32" s="30">
        <f>IF(Roster!$B32&lt;&gt;"",Roster!$D32,"")</f>
        <v/>
      </c>
      <c r="D32" s="16">
        <f>IF(AND(Roster!$B32&lt;&gt;"",COUNT('Pre-Test Entry'!$C32:$AQ32)&gt;0),'Pre-Test Entry'!$AS32,"")</f>
        <v/>
      </c>
      <c r="E32" s="37">
        <f>IFERROR(D32/Settings!$B$8,"")</f>
        <v/>
      </c>
      <c r="F32" s="31">
        <f>IF(D32="","",IF(D32&gt;=Settings!$B$7,"Distinguished Learner",IF(D32&gt;=Settings!$B$6,"Proficient Learner",IF(D32&gt;=Settings!$B$5,"Developing Learner","Beginning Learner"))))</f>
        <v/>
      </c>
      <c r="G32" s="16">
        <f>IF(AND(Roster!$B32&lt;&gt;"",COUNT('Post-Test Entry'!$C32:$AQ32)&gt;0),'Post-Test Entry'!$AS32,"")</f>
        <v/>
      </c>
      <c r="H32" s="37">
        <f>IFERROR(G32/Settings!$B$8,"")</f>
        <v/>
      </c>
      <c r="I32" s="31">
        <f>IF(G32="","",IF(G32&gt;=Settings!$B$7,"Distinguished Learner",IF(G32&gt;=Settings!$B$6,"Proficient Learner",IF(G32&gt;=Settings!$B$5,"Developing Learner","Beginning Learner"))))</f>
        <v/>
      </c>
      <c r="J32" s="16">
        <f>IF(OR(D32="",G32=""),"",G32-D32)</f>
        <v/>
      </c>
      <c r="K32" s="37">
        <f>IFERROR(IF(OR(J32="",J32&lt;=0),"",(G32-D32)/(Settings!$B$8-D32)),"")</f>
        <v/>
      </c>
      <c r="L32" s="38">
        <f>IFERROR(IF(J32="","",(G32-D32)/(Settings!$B$17*SQRT(2))),"")</f>
        <v/>
      </c>
      <c r="M32" s="30">
        <f>IF(L32="","",IF(ABS(L32)&gt;=1.96,"Yes","No"))</f>
        <v/>
      </c>
      <c r="N32" s="30">
        <f>IF(J32="","",IF(J32&gt;=Settings!$B$15,"Yes","No"))</f>
        <v/>
      </c>
      <c r="O32" s="37">
        <f>IFERROR(IF($D32="","",SUMIF('Pre-Test Entry'!$C$3:$AQ$3,Settings!$A$28,'Pre-Test Entry'!$C32:$AQ32)/Settings!$C$28),"")</f>
        <v/>
      </c>
      <c r="P32" s="37">
        <f>IFERROR(IF($D32="","",SUMIF('Pre-Test Entry'!$C$3:$AQ$3,Settings!$A$29,'Pre-Test Entry'!$C32:$AQ32)/Settings!$C$29),"")</f>
        <v/>
      </c>
      <c r="Q32" s="37">
        <f>IFERROR(IF($D32="","",SUMIF('Pre-Test Entry'!$C$3:$AQ$3,Settings!$A$30,'Pre-Test Entry'!$C32:$AQ32)/Settings!$C$30),"")</f>
        <v/>
      </c>
      <c r="R32" s="37">
        <f>IFERROR(IF($D32="","",SUMIF('Pre-Test Entry'!$C$3:$AQ$3,Settings!$A$31,'Pre-Test Entry'!$C32:$AQ32)/Settings!$C$31),"")</f>
        <v/>
      </c>
      <c r="S32" s="37">
        <f>IFERROR(IF($D32="","",SUMIF('Pre-Test Entry'!$C$3:$AQ$3,Settings!$A$32,'Pre-Test Entry'!$C32:$AQ32)/Settings!$C$32),"")</f>
        <v/>
      </c>
      <c r="T32" s="37">
        <f>IFERROR(IF($D32="","",SUMIF('Pre-Test Entry'!$C$3:$AQ$3,Settings!$A$33,'Pre-Test Entry'!$C32:$AQ32)/Settings!$C$33),"")</f>
        <v/>
      </c>
      <c r="U32" s="37">
        <f>IFERROR(IF($D32="","",SUMIF('Pre-Test Entry'!$C$3:$AQ$3,Settings!$A$34,'Pre-Test Entry'!$C32:$AQ32)/Settings!$C$34),"")</f>
        <v/>
      </c>
      <c r="V32" s="37">
        <f>IFERROR(IF($G32="","",SUMIF('Post-Test Entry'!$C$3:$AQ$3,Settings!$A$28,'Post-Test Entry'!$C32:$AQ32)/Settings!$C$28),"")</f>
        <v/>
      </c>
      <c r="W32" s="37">
        <f>IFERROR(IF($G32="","",SUMIF('Post-Test Entry'!$C$3:$AQ$3,Settings!$A$29,'Post-Test Entry'!$C32:$AQ32)/Settings!$C$29),"")</f>
        <v/>
      </c>
      <c r="X32" s="37">
        <f>IFERROR(IF($G32="","",SUMIF('Post-Test Entry'!$C$3:$AQ$3,Settings!$A$30,'Post-Test Entry'!$C32:$AQ32)/Settings!$C$30),"")</f>
        <v/>
      </c>
      <c r="Y32" s="37">
        <f>IFERROR(IF($G32="","",SUMIF('Post-Test Entry'!$C$3:$AQ$3,Settings!$A$31,'Post-Test Entry'!$C32:$AQ32)/Settings!$C$31),"")</f>
        <v/>
      </c>
      <c r="Z32" s="37">
        <f>IFERROR(IF($G32="","",SUMIF('Post-Test Entry'!$C$3:$AQ$3,Settings!$A$32,'Post-Test Entry'!$C32:$AQ32)/Settings!$C$32),"")</f>
        <v/>
      </c>
      <c r="AA32" s="37">
        <f>IFERROR(IF($G32="","",SUMIF('Post-Test Entry'!$C$3:$AQ$3,Settings!$A$33,'Post-Test Entry'!$C32:$AQ32)/Settings!$C$33),"")</f>
        <v/>
      </c>
      <c r="AB32" s="37">
        <f>IFERROR(IF($G32="","",SUMIF('Post-Test Entry'!$C$3:$AQ$3,Settings!$A$34,'Post-Test Entry'!$C32:$AQ32)/Settings!$C$34),"")</f>
        <v/>
      </c>
      <c r="AC32" s="37">
        <f>IF(OR(O32="",V32=""),"",V32-O32)</f>
        <v/>
      </c>
      <c r="AD32" s="37">
        <f>IF(OR(P32="",W32=""),"",W32-P32)</f>
        <v/>
      </c>
      <c r="AE32" s="37">
        <f>IF(OR(Q32="",X32=""),"",X32-Q32)</f>
        <v/>
      </c>
      <c r="AF32" s="37">
        <f>IF(OR(R32="",Y32=""),"",Y32-R32)</f>
        <v/>
      </c>
      <c r="AG32" s="37">
        <f>IF(OR(S32="",Z32=""),"",Z32-S32)</f>
        <v/>
      </c>
      <c r="AH32" s="37">
        <f>IF(OR(T32="",AA32=""),"",AA32-T32)</f>
        <v/>
      </c>
      <c r="AI32" s="37">
        <f>IF(OR(U32="",AB32=""),"",AB32-U32)</f>
        <v/>
      </c>
      <c r="AJ32" s="30">
        <f>IFERROR(IF($G32&lt;&gt;"",INDEX($V$4:$AB$4,MATCH(MIN($V32:$AB32),$V32:$AB32,0)),IF($D32&lt;&gt;"",INDEX($O$4:$U$4,MATCH(MIN($O32:$U32),$O32:$U32,0)),"")),"")</f>
        <v/>
      </c>
      <c r="AK32" s="30">
        <f>IFERROR(IF($G32&lt;&gt;"",INDEX($V$4:$AB$4,MATCH(SMALL($V32:$AB32,2),$V32:$AB32,0)),IF($D32&lt;&gt;"",INDEX($O$4:$U$4,MATCH(SMALL($O32:$U32,2),$O32:$U32,0)),"")),"")</f>
        <v/>
      </c>
      <c r="AL32" s="30">
        <f>IF(OR(G32="",Settings!$B$17=""),"",IF(OR(ABS(G32-Settings!$B$5)&lt;=Settings!$B$17,ABS(G32-Settings!$B$6)&lt;=Settings!$B$17,ABS(G32-Settings!$B$7)&lt;=Settings!$B$17),"NEAR CUT",""))</f>
        <v/>
      </c>
      <c r="AM32" s="31">
        <f>IF('Post-Test Entry'!$AR32&lt;&gt;"","Post essay: code "&amp;'Post-Test Entry'!$AR32,IF('Pre-Test Entry'!$AR32&lt;&gt;"","Pre essay: code "&amp;'Pre-Test Entry'!$AR32,""))</f>
        <v/>
      </c>
      <c r="AN32" s="39">
        <f>IFERROR(IF($AJ32="","",INDEX(Settings!$D$28:$D$34,MATCH($AJ32,Settings!$A$28:$A$34,0))),"")</f>
        <v/>
      </c>
      <c r="AP32">
        <f>IF(D32="","",D32^2)</f>
        <v/>
      </c>
      <c r="AQ32">
        <f>IF(G32="","",G32^2)</f>
        <v/>
      </c>
    </row>
    <row r="33">
      <c r="A33" s="30">
        <f>IF(Roster!$A33="","",Roster!$A33)</f>
        <v/>
      </c>
      <c r="B33" s="31">
        <f>IF(Roster!$B33&lt;&gt;"",Roster!$C33&amp;" "&amp;Roster!$B33,"")</f>
        <v/>
      </c>
      <c r="C33" s="30">
        <f>IF(Roster!$B33&lt;&gt;"",Roster!$D33,"")</f>
        <v/>
      </c>
      <c r="D33" s="16">
        <f>IF(AND(Roster!$B33&lt;&gt;"",COUNT('Pre-Test Entry'!$C33:$AQ33)&gt;0),'Pre-Test Entry'!$AS33,"")</f>
        <v/>
      </c>
      <c r="E33" s="37">
        <f>IFERROR(D33/Settings!$B$8,"")</f>
        <v/>
      </c>
      <c r="F33" s="31">
        <f>IF(D33="","",IF(D33&gt;=Settings!$B$7,"Distinguished Learner",IF(D33&gt;=Settings!$B$6,"Proficient Learner",IF(D33&gt;=Settings!$B$5,"Developing Learner","Beginning Learner"))))</f>
        <v/>
      </c>
      <c r="G33" s="16">
        <f>IF(AND(Roster!$B33&lt;&gt;"",COUNT('Post-Test Entry'!$C33:$AQ33)&gt;0),'Post-Test Entry'!$AS33,"")</f>
        <v/>
      </c>
      <c r="H33" s="37">
        <f>IFERROR(G33/Settings!$B$8,"")</f>
        <v/>
      </c>
      <c r="I33" s="31">
        <f>IF(G33="","",IF(G33&gt;=Settings!$B$7,"Distinguished Learner",IF(G33&gt;=Settings!$B$6,"Proficient Learner",IF(G33&gt;=Settings!$B$5,"Developing Learner","Beginning Learner"))))</f>
        <v/>
      </c>
      <c r="J33" s="16">
        <f>IF(OR(D33="",G33=""),"",G33-D33)</f>
        <v/>
      </c>
      <c r="K33" s="37">
        <f>IFERROR(IF(OR(J33="",J33&lt;=0),"",(G33-D33)/(Settings!$B$8-D33)),"")</f>
        <v/>
      </c>
      <c r="L33" s="38">
        <f>IFERROR(IF(J33="","",(G33-D33)/(Settings!$B$17*SQRT(2))),"")</f>
        <v/>
      </c>
      <c r="M33" s="30">
        <f>IF(L33="","",IF(ABS(L33)&gt;=1.96,"Yes","No"))</f>
        <v/>
      </c>
      <c r="N33" s="30">
        <f>IF(J33="","",IF(J33&gt;=Settings!$B$15,"Yes","No"))</f>
        <v/>
      </c>
      <c r="O33" s="37">
        <f>IFERROR(IF($D33="","",SUMIF('Pre-Test Entry'!$C$3:$AQ$3,Settings!$A$28,'Pre-Test Entry'!$C33:$AQ33)/Settings!$C$28),"")</f>
        <v/>
      </c>
      <c r="P33" s="37">
        <f>IFERROR(IF($D33="","",SUMIF('Pre-Test Entry'!$C$3:$AQ$3,Settings!$A$29,'Pre-Test Entry'!$C33:$AQ33)/Settings!$C$29),"")</f>
        <v/>
      </c>
      <c r="Q33" s="37">
        <f>IFERROR(IF($D33="","",SUMIF('Pre-Test Entry'!$C$3:$AQ$3,Settings!$A$30,'Pre-Test Entry'!$C33:$AQ33)/Settings!$C$30),"")</f>
        <v/>
      </c>
      <c r="R33" s="37">
        <f>IFERROR(IF($D33="","",SUMIF('Pre-Test Entry'!$C$3:$AQ$3,Settings!$A$31,'Pre-Test Entry'!$C33:$AQ33)/Settings!$C$31),"")</f>
        <v/>
      </c>
      <c r="S33" s="37">
        <f>IFERROR(IF($D33="","",SUMIF('Pre-Test Entry'!$C$3:$AQ$3,Settings!$A$32,'Pre-Test Entry'!$C33:$AQ33)/Settings!$C$32),"")</f>
        <v/>
      </c>
      <c r="T33" s="37">
        <f>IFERROR(IF($D33="","",SUMIF('Pre-Test Entry'!$C$3:$AQ$3,Settings!$A$33,'Pre-Test Entry'!$C33:$AQ33)/Settings!$C$33),"")</f>
        <v/>
      </c>
      <c r="U33" s="37">
        <f>IFERROR(IF($D33="","",SUMIF('Pre-Test Entry'!$C$3:$AQ$3,Settings!$A$34,'Pre-Test Entry'!$C33:$AQ33)/Settings!$C$34),"")</f>
        <v/>
      </c>
      <c r="V33" s="37">
        <f>IFERROR(IF($G33="","",SUMIF('Post-Test Entry'!$C$3:$AQ$3,Settings!$A$28,'Post-Test Entry'!$C33:$AQ33)/Settings!$C$28),"")</f>
        <v/>
      </c>
      <c r="W33" s="37">
        <f>IFERROR(IF($G33="","",SUMIF('Post-Test Entry'!$C$3:$AQ$3,Settings!$A$29,'Post-Test Entry'!$C33:$AQ33)/Settings!$C$29),"")</f>
        <v/>
      </c>
      <c r="X33" s="37">
        <f>IFERROR(IF($G33="","",SUMIF('Post-Test Entry'!$C$3:$AQ$3,Settings!$A$30,'Post-Test Entry'!$C33:$AQ33)/Settings!$C$30),"")</f>
        <v/>
      </c>
      <c r="Y33" s="37">
        <f>IFERROR(IF($G33="","",SUMIF('Post-Test Entry'!$C$3:$AQ$3,Settings!$A$31,'Post-Test Entry'!$C33:$AQ33)/Settings!$C$31),"")</f>
        <v/>
      </c>
      <c r="Z33" s="37">
        <f>IFERROR(IF($G33="","",SUMIF('Post-Test Entry'!$C$3:$AQ$3,Settings!$A$32,'Post-Test Entry'!$C33:$AQ33)/Settings!$C$32),"")</f>
        <v/>
      </c>
      <c r="AA33" s="37">
        <f>IFERROR(IF($G33="","",SUMIF('Post-Test Entry'!$C$3:$AQ$3,Settings!$A$33,'Post-Test Entry'!$C33:$AQ33)/Settings!$C$33),"")</f>
        <v/>
      </c>
      <c r="AB33" s="37">
        <f>IFERROR(IF($G33="","",SUMIF('Post-Test Entry'!$C$3:$AQ$3,Settings!$A$34,'Post-Test Entry'!$C33:$AQ33)/Settings!$C$34),"")</f>
        <v/>
      </c>
      <c r="AC33" s="37">
        <f>IF(OR(O33="",V33=""),"",V33-O33)</f>
        <v/>
      </c>
      <c r="AD33" s="37">
        <f>IF(OR(P33="",W33=""),"",W33-P33)</f>
        <v/>
      </c>
      <c r="AE33" s="37">
        <f>IF(OR(Q33="",X33=""),"",X33-Q33)</f>
        <v/>
      </c>
      <c r="AF33" s="37">
        <f>IF(OR(R33="",Y33=""),"",Y33-R33)</f>
        <v/>
      </c>
      <c r="AG33" s="37">
        <f>IF(OR(S33="",Z33=""),"",Z33-S33)</f>
        <v/>
      </c>
      <c r="AH33" s="37">
        <f>IF(OR(T33="",AA33=""),"",AA33-T33)</f>
        <v/>
      </c>
      <c r="AI33" s="37">
        <f>IF(OR(U33="",AB33=""),"",AB33-U33)</f>
        <v/>
      </c>
      <c r="AJ33" s="30">
        <f>IFERROR(IF($G33&lt;&gt;"",INDEX($V$4:$AB$4,MATCH(MIN($V33:$AB33),$V33:$AB33,0)),IF($D33&lt;&gt;"",INDEX($O$4:$U$4,MATCH(MIN($O33:$U33),$O33:$U33,0)),"")),"")</f>
        <v/>
      </c>
      <c r="AK33" s="30">
        <f>IFERROR(IF($G33&lt;&gt;"",INDEX($V$4:$AB$4,MATCH(SMALL($V33:$AB33,2),$V33:$AB33,0)),IF($D33&lt;&gt;"",INDEX($O$4:$U$4,MATCH(SMALL($O33:$U33,2),$O33:$U33,0)),"")),"")</f>
        <v/>
      </c>
      <c r="AL33" s="30">
        <f>IF(OR(G33="",Settings!$B$17=""),"",IF(OR(ABS(G33-Settings!$B$5)&lt;=Settings!$B$17,ABS(G33-Settings!$B$6)&lt;=Settings!$B$17,ABS(G33-Settings!$B$7)&lt;=Settings!$B$17),"NEAR CUT",""))</f>
        <v/>
      </c>
      <c r="AM33" s="31">
        <f>IF('Post-Test Entry'!$AR33&lt;&gt;"","Post essay: code "&amp;'Post-Test Entry'!$AR33,IF('Pre-Test Entry'!$AR33&lt;&gt;"","Pre essay: code "&amp;'Pre-Test Entry'!$AR33,""))</f>
        <v/>
      </c>
      <c r="AN33" s="39">
        <f>IFERROR(IF($AJ33="","",INDEX(Settings!$D$28:$D$34,MATCH($AJ33,Settings!$A$28:$A$34,0))),"")</f>
        <v/>
      </c>
      <c r="AP33">
        <f>IF(D33="","",D33^2)</f>
        <v/>
      </c>
      <c r="AQ33">
        <f>IF(G33="","",G33^2)</f>
        <v/>
      </c>
    </row>
    <row r="34">
      <c r="A34" s="30">
        <f>IF(Roster!$A34="","",Roster!$A34)</f>
        <v/>
      </c>
      <c r="B34" s="31">
        <f>IF(Roster!$B34&lt;&gt;"",Roster!$C34&amp;" "&amp;Roster!$B34,"")</f>
        <v/>
      </c>
      <c r="C34" s="30">
        <f>IF(Roster!$B34&lt;&gt;"",Roster!$D34,"")</f>
        <v/>
      </c>
      <c r="D34" s="16">
        <f>IF(AND(Roster!$B34&lt;&gt;"",COUNT('Pre-Test Entry'!$C34:$AQ34)&gt;0),'Pre-Test Entry'!$AS34,"")</f>
        <v/>
      </c>
      <c r="E34" s="37">
        <f>IFERROR(D34/Settings!$B$8,"")</f>
        <v/>
      </c>
      <c r="F34" s="31">
        <f>IF(D34="","",IF(D34&gt;=Settings!$B$7,"Distinguished Learner",IF(D34&gt;=Settings!$B$6,"Proficient Learner",IF(D34&gt;=Settings!$B$5,"Developing Learner","Beginning Learner"))))</f>
        <v/>
      </c>
      <c r="G34" s="16">
        <f>IF(AND(Roster!$B34&lt;&gt;"",COUNT('Post-Test Entry'!$C34:$AQ34)&gt;0),'Post-Test Entry'!$AS34,"")</f>
        <v/>
      </c>
      <c r="H34" s="37">
        <f>IFERROR(G34/Settings!$B$8,"")</f>
        <v/>
      </c>
      <c r="I34" s="31">
        <f>IF(G34="","",IF(G34&gt;=Settings!$B$7,"Distinguished Learner",IF(G34&gt;=Settings!$B$6,"Proficient Learner",IF(G34&gt;=Settings!$B$5,"Developing Learner","Beginning Learner"))))</f>
        <v/>
      </c>
      <c r="J34" s="16">
        <f>IF(OR(D34="",G34=""),"",G34-D34)</f>
        <v/>
      </c>
      <c r="K34" s="37">
        <f>IFERROR(IF(OR(J34="",J34&lt;=0),"",(G34-D34)/(Settings!$B$8-D34)),"")</f>
        <v/>
      </c>
      <c r="L34" s="38">
        <f>IFERROR(IF(J34="","",(G34-D34)/(Settings!$B$17*SQRT(2))),"")</f>
        <v/>
      </c>
      <c r="M34" s="30">
        <f>IF(L34="","",IF(ABS(L34)&gt;=1.96,"Yes","No"))</f>
        <v/>
      </c>
      <c r="N34" s="30">
        <f>IF(J34="","",IF(J34&gt;=Settings!$B$15,"Yes","No"))</f>
        <v/>
      </c>
      <c r="O34" s="37">
        <f>IFERROR(IF($D34="","",SUMIF('Pre-Test Entry'!$C$3:$AQ$3,Settings!$A$28,'Pre-Test Entry'!$C34:$AQ34)/Settings!$C$28),"")</f>
        <v/>
      </c>
      <c r="P34" s="37">
        <f>IFERROR(IF($D34="","",SUMIF('Pre-Test Entry'!$C$3:$AQ$3,Settings!$A$29,'Pre-Test Entry'!$C34:$AQ34)/Settings!$C$29),"")</f>
        <v/>
      </c>
      <c r="Q34" s="37">
        <f>IFERROR(IF($D34="","",SUMIF('Pre-Test Entry'!$C$3:$AQ$3,Settings!$A$30,'Pre-Test Entry'!$C34:$AQ34)/Settings!$C$30),"")</f>
        <v/>
      </c>
      <c r="R34" s="37">
        <f>IFERROR(IF($D34="","",SUMIF('Pre-Test Entry'!$C$3:$AQ$3,Settings!$A$31,'Pre-Test Entry'!$C34:$AQ34)/Settings!$C$31),"")</f>
        <v/>
      </c>
      <c r="S34" s="37">
        <f>IFERROR(IF($D34="","",SUMIF('Pre-Test Entry'!$C$3:$AQ$3,Settings!$A$32,'Pre-Test Entry'!$C34:$AQ34)/Settings!$C$32),"")</f>
        <v/>
      </c>
      <c r="T34" s="37">
        <f>IFERROR(IF($D34="","",SUMIF('Pre-Test Entry'!$C$3:$AQ$3,Settings!$A$33,'Pre-Test Entry'!$C34:$AQ34)/Settings!$C$33),"")</f>
        <v/>
      </c>
      <c r="U34" s="37">
        <f>IFERROR(IF($D34="","",SUMIF('Pre-Test Entry'!$C$3:$AQ$3,Settings!$A$34,'Pre-Test Entry'!$C34:$AQ34)/Settings!$C$34),"")</f>
        <v/>
      </c>
      <c r="V34" s="37">
        <f>IFERROR(IF($G34="","",SUMIF('Post-Test Entry'!$C$3:$AQ$3,Settings!$A$28,'Post-Test Entry'!$C34:$AQ34)/Settings!$C$28),"")</f>
        <v/>
      </c>
      <c r="W34" s="37">
        <f>IFERROR(IF($G34="","",SUMIF('Post-Test Entry'!$C$3:$AQ$3,Settings!$A$29,'Post-Test Entry'!$C34:$AQ34)/Settings!$C$29),"")</f>
        <v/>
      </c>
      <c r="X34" s="37">
        <f>IFERROR(IF($G34="","",SUMIF('Post-Test Entry'!$C$3:$AQ$3,Settings!$A$30,'Post-Test Entry'!$C34:$AQ34)/Settings!$C$30),"")</f>
        <v/>
      </c>
      <c r="Y34" s="37">
        <f>IFERROR(IF($G34="","",SUMIF('Post-Test Entry'!$C$3:$AQ$3,Settings!$A$31,'Post-Test Entry'!$C34:$AQ34)/Settings!$C$31),"")</f>
        <v/>
      </c>
      <c r="Z34" s="37">
        <f>IFERROR(IF($G34="","",SUMIF('Post-Test Entry'!$C$3:$AQ$3,Settings!$A$32,'Post-Test Entry'!$C34:$AQ34)/Settings!$C$32),"")</f>
        <v/>
      </c>
      <c r="AA34" s="37">
        <f>IFERROR(IF($G34="","",SUMIF('Post-Test Entry'!$C$3:$AQ$3,Settings!$A$33,'Post-Test Entry'!$C34:$AQ34)/Settings!$C$33),"")</f>
        <v/>
      </c>
      <c r="AB34" s="37">
        <f>IFERROR(IF($G34="","",SUMIF('Post-Test Entry'!$C$3:$AQ$3,Settings!$A$34,'Post-Test Entry'!$C34:$AQ34)/Settings!$C$34),"")</f>
        <v/>
      </c>
      <c r="AC34" s="37">
        <f>IF(OR(O34="",V34=""),"",V34-O34)</f>
        <v/>
      </c>
      <c r="AD34" s="37">
        <f>IF(OR(P34="",W34=""),"",W34-P34)</f>
        <v/>
      </c>
      <c r="AE34" s="37">
        <f>IF(OR(Q34="",X34=""),"",X34-Q34)</f>
        <v/>
      </c>
      <c r="AF34" s="37">
        <f>IF(OR(R34="",Y34=""),"",Y34-R34)</f>
        <v/>
      </c>
      <c r="AG34" s="37">
        <f>IF(OR(S34="",Z34=""),"",Z34-S34)</f>
        <v/>
      </c>
      <c r="AH34" s="37">
        <f>IF(OR(T34="",AA34=""),"",AA34-T34)</f>
        <v/>
      </c>
      <c r="AI34" s="37">
        <f>IF(OR(U34="",AB34=""),"",AB34-U34)</f>
        <v/>
      </c>
      <c r="AJ34" s="30">
        <f>IFERROR(IF($G34&lt;&gt;"",INDEX($V$4:$AB$4,MATCH(MIN($V34:$AB34),$V34:$AB34,0)),IF($D34&lt;&gt;"",INDEX($O$4:$U$4,MATCH(MIN($O34:$U34),$O34:$U34,0)),"")),"")</f>
        <v/>
      </c>
      <c r="AK34" s="30">
        <f>IFERROR(IF($G34&lt;&gt;"",INDEX($V$4:$AB$4,MATCH(SMALL($V34:$AB34,2),$V34:$AB34,0)),IF($D34&lt;&gt;"",INDEX($O$4:$U$4,MATCH(SMALL($O34:$U34,2),$O34:$U34,0)),"")),"")</f>
        <v/>
      </c>
      <c r="AL34" s="30">
        <f>IF(OR(G34="",Settings!$B$17=""),"",IF(OR(ABS(G34-Settings!$B$5)&lt;=Settings!$B$17,ABS(G34-Settings!$B$6)&lt;=Settings!$B$17,ABS(G34-Settings!$B$7)&lt;=Settings!$B$17),"NEAR CUT",""))</f>
        <v/>
      </c>
      <c r="AM34" s="31">
        <f>IF('Post-Test Entry'!$AR34&lt;&gt;"","Post essay: code "&amp;'Post-Test Entry'!$AR34,IF('Pre-Test Entry'!$AR34&lt;&gt;"","Pre essay: code "&amp;'Pre-Test Entry'!$AR34,""))</f>
        <v/>
      </c>
      <c r="AN34" s="39">
        <f>IFERROR(IF($AJ34="","",INDEX(Settings!$D$28:$D$34,MATCH($AJ34,Settings!$A$28:$A$34,0))),"")</f>
        <v/>
      </c>
      <c r="AP34">
        <f>IF(D34="","",D34^2)</f>
        <v/>
      </c>
      <c r="AQ34">
        <f>IF(G34="","",G34^2)</f>
        <v/>
      </c>
    </row>
    <row r="35">
      <c r="A35" s="30">
        <f>IF(Roster!$A35="","",Roster!$A35)</f>
        <v/>
      </c>
      <c r="B35" s="31">
        <f>IF(Roster!$B35&lt;&gt;"",Roster!$C35&amp;" "&amp;Roster!$B35,"")</f>
        <v/>
      </c>
      <c r="C35" s="30">
        <f>IF(Roster!$B35&lt;&gt;"",Roster!$D35,"")</f>
        <v/>
      </c>
      <c r="D35" s="16">
        <f>IF(AND(Roster!$B35&lt;&gt;"",COUNT('Pre-Test Entry'!$C35:$AQ35)&gt;0),'Pre-Test Entry'!$AS35,"")</f>
        <v/>
      </c>
      <c r="E35" s="37">
        <f>IFERROR(D35/Settings!$B$8,"")</f>
        <v/>
      </c>
      <c r="F35" s="31">
        <f>IF(D35="","",IF(D35&gt;=Settings!$B$7,"Distinguished Learner",IF(D35&gt;=Settings!$B$6,"Proficient Learner",IF(D35&gt;=Settings!$B$5,"Developing Learner","Beginning Learner"))))</f>
        <v/>
      </c>
      <c r="G35" s="16">
        <f>IF(AND(Roster!$B35&lt;&gt;"",COUNT('Post-Test Entry'!$C35:$AQ35)&gt;0),'Post-Test Entry'!$AS35,"")</f>
        <v/>
      </c>
      <c r="H35" s="37">
        <f>IFERROR(G35/Settings!$B$8,"")</f>
        <v/>
      </c>
      <c r="I35" s="31">
        <f>IF(G35="","",IF(G35&gt;=Settings!$B$7,"Distinguished Learner",IF(G35&gt;=Settings!$B$6,"Proficient Learner",IF(G35&gt;=Settings!$B$5,"Developing Learner","Beginning Learner"))))</f>
        <v/>
      </c>
      <c r="J35" s="16">
        <f>IF(OR(D35="",G35=""),"",G35-D35)</f>
        <v/>
      </c>
      <c r="K35" s="37">
        <f>IFERROR(IF(OR(J35="",J35&lt;=0),"",(G35-D35)/(Settings!$B$8-D35)),"")</f>
        <v/>
      </c>
      <c r="L35" s="38">
        <f>IFERROR(IF(J35="","",(G35-D35)/(Settings!$B$17*SQRT(2))),"")</f>
        <v/>
      </c>
      <c r="M35" s="30">
        <f>IF(L35="","",IF(ABS(L35)&gt;=1.96,"Yes","No"))</f>
        <v/>
      </c>
      <c r="N35" s="30">
        <f>IF(J35="","",IF(J35&gt;=Settings!$B$15,"Yes","No"))</f>
        <v/>
      </c>
      <c r="O35" s="37">
        <f>IFERROR(IF($D35="","",SUMIF('Pre-Test Entry'!$C$3:$AQ$3,Settings!$A$28,'Pre-Test Entry'!$C35:$AQ35)/Settings!$C$28),"")</f>
        <v/>
      </c>
      <c r="P35" s="37">
        <f>IFERROR(IF($D35="","",SUMIF('Pre-Test Entry'!$C$3:$AQ$3,Settings!$A$29,'Pre-Test Entry'!$C35:$AQ35)/Settings!$C$29),"")</f>
        <v/>
      </c>
      <c r="Q35" s="37">
        <f>IFERROR(IF($D35="","",SUMIF('Pre-Test Entry'!$C$3:$AQ$3,Settings!$A$30,'Pre-Test Entry'!$C35:$AQ35)/Settings!$C$30),"")</f>
        <v/>
      </c>
      <c r="R35" s="37">
        <f>IFERROR(IF($D35="","",SUMIF('Pre-Test Entry'!$C$3:$AQ$3,Settings!$A$31,'Pre-Test Entry'!$C35:$AQ35)/Settings!$C$31),"")</f>
        <v/>
      </c>
      <c r="S35" s="37">
        <f>IFERROR(IF($D35="","",SUMIF('Pre-Test Entry'!$C$3:$AQ$3,Settings!$A$32,'Pre-Test Entry'!$C35:$AQ35)/Settings!$C$32),"")</f>
        <v/>
      </c>
      <c r="T35" s="37">
        <f>IFERROR(IF($D35="","",SUMIF('Pre-Test Entry'!$C$3:$AQ$3,Settings!$A$33,'Pre-Test Entry'!$C35:$AQ35)/Settings!$C$33),"")</f>
        <v/>
      </c>
      <c r="U35" s="37">
        <f>IFERROR(IF($D35="","",SUMIF('Pre-Test Entry'!$C$3:$AQ$3,Settings!$A$34,'Pre-Test Entry'!$C35:$AQ35)/Settings!$C$34),"")</f>
        <v/>
      </c>
      <c r="V35" s="37">
        <f>IFERROR(IF($G35="","",SUMIF('Post-Test Entry'!$C$3:$AQ$3,Settings!$A$28,'Post-Test Entry'!$C35:$AQ35)/Settings!$C$28),"")</f>
        <v/>
      </c>
      <c r="W35" s="37">
        <f>IFERROR(IF($G35="","",SUMIF('Post-Test Entry'!$C$3:$AQ$3,Settings!$A$29,'Post-Test Entry'!$C35:$AQ35)/Settings!$C$29),"")</f>
        <v/>
      </c>
      <c r="X35" s="37">
        <f>IFERROR(IF($G35="","",SUMIF('Post-Test Entry'!$C$3:$AQ$3,Settings!$A$30,'Post-Test Entry'!$C35:$AQ35)/Settings!$C$30),"")</f>
        <v/>
      </c>
      <c r="Y35" s="37">
        <f>IFERROR(IF($G35="","",SUMIF('Post-Test Entry'!$C$3:$AQ$3,Settings!$A$31,'Post-Test Entry'!$C35:$AQ35)/Settings!$C$31),"")</f>
        <v/>
      </c>
      <c r="Z35" s="37">
        <f>IFERROR(IF($G35="","",SUMIF('Post-Test Entry'!$C$3:$AQ$3,Settings!$A$32,'Post-Test Entry'!$C35:$AQ35)/Settings!$C$32),"")</f>
        <v/>
      </c>
      <c r="AA35" s="37">
        <f>IFERROR(IF($G35="","",SUMIF('Post-Test Entry'!$C$3:$AQ$3,Settings!$A$33,'Post-Test Entry'!$C35:$AQ35)/Settings!$C$33),"")</f>
        <v/>
      </c>
      <c r="AB35" s="37">
        <f>IFERROR(IF($G35="","",SUMIF('Post-Test Entry'!$C$3:$AQ$3,Settings!$A$34,'Post-Test Entry'!$C35:$AQ35)/Settings!$C$34),"")</f>
        <v/>
      </c>
      <c r="AC35" s="37">
        <f>IF(OR(O35="",V35=""),"",V35-O35)</f>
        <v/>
      </c>
      <c r="AD35" s="37">
        <f>IF(OR(P35="",W35=""),"",W35-P35)</f>
        <v/>
      </c>
      <c r="AE35" s="37">
        <f>IF(OR(Q35="",X35=""),"",X35-Q35)</f>
        <v/>
      </c>
      <c r="AF35" s="37">
        <f>IF(OR(R35="",Y35=""),"",Y35-R35)</f>
        <v/>
      </c>
      <c r="AG35" s="37">
        <f>IF(OR(S35="",Z35=""),"",Z35-S35)</f>
        <v/>
      </c>
      <c r="AH35" s="37">
        <f>IF(OR(T35="",AA35=""),"",AA35-T35)</f>
        <v/>
      </c>
      <c r="AI35" s="37">
        <f>IF(OR(U35="",AB35=""),"",AB35-U35)</f>
        <v/>
      </c>
      <c r="AJ35" s="30">
        <f>IFERROR(IF($G35&lt;&gt;"",INDEX($V$4:$AB$4,MATCH(MIN($V35:$AB35),$V35:$AB35,0)),IF($D35&lt;&gt;"",INDEX($O$4:$U$4,MATCH(MIN($O35:$U35),$O35:$U35,0)),"")),"")</f>
        <v/>
      </c>
      <c r="AK35" s="30">
        <f>IFERROR(IF($G35&lt;&gt;"",INDEX($V$4:$AB$4,MATCH(SMALL($V35:$AB35,2),$V35:$AB35,0)),IF($D35&lt;&gt;"",INDEX($O$4:$U$4,MATCH(SMALL($O35:$U35,2),$O35:$U35,0)),"")),"")</f>
        <v/>
      </c>
      <c r="AL35" s="30">
        <f>IF(OR(G35="",Settings!$B$17=""),"",IF(OR(ABS(G35-Settings!$B$5)&lt;=Settings!$B$17,ABS(G35-Settings!$B$6)&lt;=Settings!$B$17,ABS(G35-Settings!$B$7)&lt;=Settings!$B$17),"NEAR CUT",""))</f>
        <v/>
      </c>
      <c r="AM35" s="31">
        <f>IF('Post-Test Entry'!$AR35&lt;&gt;"","Post essay: code "&amp;'Post-Test Entry'!$AR35,IF('Pre-Test Entry'!$AR35&lt;&gt;"","Pre essay: code "&amp;'Pre-Test Entry'!$AR35,""))</f>
        <v/>
      </c>
      <c r="AN35" s="39">
        <f>IFERROR(IF($AJ35="","",INDEX(Settings!$D$28:$D$34,MATCH($AJ35,Settings!$A$28:$A$34,0))),"")</f>
        <v/>
      </c>
      <c r="AP35">
        <f>IF(D35="","",D35^2)</f>
        <v/>
      </c>
      <c r="AQ35">
        <f>IF(G35="","",G35^2)</f>
        <v/>
      </c>
    </row>
    <row r="36">
      <c r="A36" s="30">
        <f>IF(Roster!$A36="","",Roster!$A36)</f>
        <v/>
      </c>
      <c r="B36" s="31">
        <f>IF(Roster!$B36&lt;&gt;"",Roster!$C36&amp;" "&amp;Roster!$B36,"")</f>
        <v/>
      </c>
      <c r="C36" s="30">
        <f>IF(Roster!$B36&lt;&gt;"",Roster!$D36,"")</f>
        <v/>
      </c>
      <c r="D36" s="16">
        <f>IF(AND(Roster!$B36&lt;&gt;"",COUNT('Pre-Test Entry'!$C36:$AQ36)&gt;0),'Pre-Test Entry'!$AS36,"")</f>
        <v/>
      </c>
      <c r="E36" s="37">
        <f>IFERROR(D36/Settings!$B$8,"")</f>
        <v/>
      </c>
      <c r="F36" s="31">
        <f>IF(D36="","",IF(D36&gt;=Settings!$B$7,"Distinguished Learner",IF(D36&gt;=Settings!$B$6,"Proficient Learner",IF(D36&gt;=Settings!$B$5,"Developing Learner","Beginning Learner"))))</f>
        <v/>
      </c>
      <c r="G36" s="16">
        <f>IF(AND(Roster!$B36&lt;&gt;"",COUNT('Post-Test Entry'!$C36:$AQ36)&gt;0),'Post-Test Entry'!$AS36,"")</f>
        <v/>
      </c>
      <c r="H36" s="37">
        <f>IFERROR(G36/Settings!$B$8,"")</f>
        <v/>
      </c>
      <c r="I36" s="31">
        <f>IF(G36="","",IF(G36&gt;=Settings!$B$7,"Distinguished Learner",IF(G36&gt;=Settings!$B$6,"Proficient Learner",IF(G36&gt;=Settings!$B$5,"Developing Learner","Beginning Learner"))))</f>
        <v/>
      </c>
      <c r="J36" s="16">
        <f>IF(OR(D36="",G36=""),"",G36-D36)</f>
        <v/>
      </c>
      <c r="K36" s="37">
        <f>IFERROR(IF(OR(J36="",J36&lt;=0),"",(G36-D36)/(Settings!$B$8-D36)),"")</f>
        <v/>
      </c>
      <c r="L36" s="38">
        <f>IFERROR(IF(J36="","",(G36-D36)/(Settings!$B$17*SQRT(2))),"")</f>
        <v/>
      </c>
      <c r="M36" s="30">
        <f>IF(L36="","",IF(ABS(L36)&gt;=1.96,"Yes","No"))</f>
        <v/>
      </c>
      <c r="N36" s="30">
        <f>IF(J36="","",IF(J36&gt;=Settings!$B$15,"Yes","No"))</f>
        <v/>
      </c>
      <c r="O36" s="37">
        <f>IFERROR(IF($D36="","",SUMIF('Pre-Test Entry'!$C$3:$AQ$3,Settings!$A$28,'Pre-Test Entry'!$C36:$AQ36)/Settings!$C$28),"")</f>
        <v/>
      </c>
      <c r="P36" s="37">
        <f>IFERROR(IF($D36="","",SUMIF('Pre-Test Entry'!$C$3:$AQ$3,Settings!$A$29,'Pre-Test Entry'!$C36:$AQ36)/Settings!$C$29),"")</f>
        <v/>
      </c>
      <c r="Q36" s="37">
        <f>IFERROR(IF($D36="","",SUMIF('Pre-Test Entry'!$C$3:$AQ$3,Settings!$A$30,'Pre-Test Entry'!$C36:$AQ36)/Settings!$C$30),"")</f>
        <v/>
      </c>
      <c r="R36" s="37">
        <f>IFERROR(IF($D36="","",SUMIF('Pre-Test Entry'!$C$3:$AQ$3,Settings!$A$31,'Pre-Test Entry'!$C36:$AQ36)/Settings!$C$31),"")</f>
        <v/>
      </c>
      <c r="S36" s="37">
        <f>IFERROR(IF($D36="","",SUMIF('Pre-Test Entry'!$C$3:$AQ$3,Settings!$A$32,'Pre-Test Entry'!$C36:$AQ36)/Settings!$C$32),"")</f>
        <v/>
      </c>
      <c r="T36" s="37">
        <f>IFERROR(IF($D36="","",SUMIF('Pre-Test Entry'!$C$3:$AQ$3,Settings!$A$33,'Pre-Test Entry'!$C36:$AQ36)/Settings!$C$33),"")</f>
        <v/>
      </c>
      <c r="U36" s="37">
        <f>IFERROR(IF($D36="","",SUMIF('Pre-Test Entry'!$C$3:$AQ$3,Settings!$A$34,'Pre-Test Entry'!$C36:$AQ36)/Settings!$C$34),"")</f>
        <v/>
      </c>
      <c r="V36" s="37">
        <f>IFERROR(IF($G36="","",SUMIF('Post-Test Entry'!$C$3:$AQ$3,Settings!$A$28,'Post-Test Entry'!$C36:$AQ36)/Settings!$C$28),"")</f>
        <v/>
      </c>
      <c r="W36" s="37">
        <f>IFERROR(IF($G36="","",SUMIF('Post-Test Entry'!$C$3:$AQ$3,Settings!$A$29,'Post-Test Entry'!$C36:$AQ36)/Settings!$C$29),"")</f>
        <v/>
      </c>
      <c r="X36" s="37">
        <f>IFERROR(IF($G36="","",SUMIF('Post-Test Entry'!$C$3:$AQ$3,Settings!$A$30,'Post-Test Entry'!$C36:$AQ36)/Settings!$C$30),"")</f>
        <v/>
      </c>
      <c r="Y36" s="37">
        <f>IFERROR(IF($G36="","",SUMIF('Post-Test Entry'!$C$3:$AQ$3,Settings!$A$31,'Post-Test Entry'!$C36:$AQ36)/Settings!$C$31),"")</f>
        <v/>
      </c>
      <c r="Z36" s="37">
        <f>IFERROR(IF($G36="","",SUMIF('Post-Test Entry'!$C$3:$AQ$3,Settings!$A$32,'Post-Test Entry'!$C36:$AQ36)/Settings!$C$32),"")</f>
        <v/>
      </c>
      <c r="AA36" s="37">
        <f>IFERROR(IF($G36="","",SUMIF('Post-Test Entry'!$C$3:$AQ$3,Settings!$A$33,'Post-Test Entry'!$C36:$AQ36)/Settings!$C$33),"")</f>
        <v/>
      </c>
      <c r="AB36" s="37">
        <f>IFERROR(IF($G36="","",SUMIF('Post-Test Entry'!$C$3:$AQ$3,Settings!$A$34,'Post-Test Entry'!$C36:$AQ36)/Settings!$C$34),"")</f>
        <v/>
      </c>
      <c r="AC36" s="37">
        <f>IF(OR(O36="",V36=""),"",V36-O36)</f>
        <v/>
      </c>
      <c r="AD36" s="37">
        <f>IF(OR(P36="",W36=""),"",W36-P36)</f>
        <v/>
      </c>
      <c r="AE36" s="37">
        <f>IF(OR(Q36="",X36=""),"",X36-Q36)</f>
        <v/>
      </c>
      <c r="AF36" s="37">
        <f>IF(OR(R36="",Y36=""),"",Y36-R36)</f>
        <v/>
      </c>
      <c r="AG36" s="37">
        <f>IF(OR(S36="",Z36=""),"",Z36-S36)</f>
        <v/>
      </c>
      <c r="AH36" s="37">
        <f>IF(OR(T36="",AA36=""),"",AA36-T36)</f>
        <v/>
      </c>
      <c r="AI36" s="37">
        <f>IF(OR(U36="",AB36=""),"",AB36-U36)</f>
        <v/>
      </c>
      <c r="AJ36" s="30">
        <f>IFERROR(IF($G36&lt;&gt;"",INDEX($V$4:$AB$4,MATCH(MIN($V36:$AB36),$V36:$AB36,0)),IF($D36&lt;&gt;"",INDEX($O$4:$U$4,MATCH(MIN($O36:$U36),$O36:$U36,0)),"")),"")</f>
        <v/>
      </c>
      <c r="AK36" s="30">
        <f>IFERROR(IF($G36&lt;&gt;"",INDEX($V$4:$AB$4,MATCH(SMALL($V36:$AB36,2),$V36:$AB36,0)),IF($D36&lt;&gt;"",INDEX($O$4:$U$4,MATCH(SMALL($O36:$U36,2),$O36:$U36,0)),"")),"")</f>
        <v/>
      </c>
      <c r="AL36" s="30">
        <f>IF(OR(G36="",Settings!$B$17=""),"",IF(OR(ABS(G36-Settings!$B$5)&lt;=Settings!$B$17,ABS(G36-Settings!$B$6)&lt;=Settings!$B$17,ABS(G36-Settings!$B$7)&lt;=Settings!$B$17),"NEAR CUT",""))</f>
        <v/>
      </c>
      <c r="AM36" s="31">
        <f>IF('Post-Test Entry'!$AR36&lt;&gt;"","Post essay: code "&amp;'Post-Test Entry'!$AR36,IF('Pre-Test Entry'!$AR36&lt;&gt;"","Pre essay: code "&amp;'Pre-Test Entry'!$AR36,""))</f>
        <v/>
      </c>
      <c r="AN36" s="39">
        <f>IFERROR(IF($AJ36="","",INDEX(Settings!$D$28:$D$34,MATCH($AJ36,Settings!$A$28:$A$34,0))),"")</f>
        <v/>
      </c>
      <c r="AP36">
        <f>IF(D36="","",D36^2)</f>
        <v/>
      </c>
      <c r="AQ36">
        <f>IF(G36="","",G36^2)</f>
        <v/>
      </c>
    </row>
    <row r="37">
      <c r="A37" s="30">
        <f>IF(Roster!$A37="","",Roster!$A37)</f>
        <v/>
      </c>
      <c r="B37" s="31">
        <f>IF(Roster!$B37&lt;&gt;"",Roster!$C37&amp;" "&amp;Roster!$B37,"")</f>
        <v/>
      </c>
      <c r="C37" s="30">
        <f>IF(Roster!$B37&lt;&gt;"",Roster!$D37,"")</f>
        <v/>
      </c>
      <c r="D37" s="16">
        <f>IF(AND(Roster!$B37&lt;&gt;"",COUNT('Pre-Test Entry'!$C37:$AQ37)&gt;0),'Pre-Test Entry'!$AS37,"")</f>
        <v/>
      </c>
      <c r="E37" s="37">
        <f>IFERROR(D37/Settings!$B$8,"")</f>
        <v/>
      </c>
      <c r="F37" s="31">
        <f>IF(D37="","",IF(D37&gt;=Settings!$B$7,"Distinguished Learner",IF(D37&gt;=Settings!$B$6,"Proficient Learner",IF(D37&gt;=Settings!$B$5,"Developing Learner","Beginning Learner"))))</f>
        <v/>
      </c>
      <c r="G37" s="16">
        <f>IF(AND(Roster!$B37&lt;&gt;"",COUNT('Post-Test Entry'!$C37:$AQ37)&gt;0),'Post-Test Entry'!$AS37,"")</f>
        <v/>
      </c>
      <c r="H37" s="37">
        <f>IFERROR(G37/Settings!$B$8,"")</f>
        <v/>
      </c>
      <c r="I37" s="31">
        <f>IF(G37="","",IF(G37&gt;=Settings!$B$7,"Distinguished Learner",IF(G37&gt;=Settings!$B$6,"Proficient Learner",IF(G37&gt;=Settings!$B$5,"Developing Learner","Beginning Learner"))))</f>
        <v/>
      </c>
      <c r="J37" s="16">
        <f>IF(OR(D37="",G37=""),"",G37-D37)</f>
        <v/>
      </c>
      <c r="K37" s="37">
        <f>IFERROR(IF(OR(J37="",J37&lt;=0),"",(G37-D37)/(Settings!$B$8-D37)),"")</f>
        <v/>
      </c>
      <c r="L37" s="38">
        <f>IFERROR(IF(J37="","",(G37-D37)/(Settings!$B$17*SQRT(2))),"")</f>
        <v/>
      </c>
      <c r="M37" s="30">
        <f>IF(L37="","",IF(ABS(L37)&gt;=1.96,"Yes","No"))</f>
        <v/>
      </c>
      <c r="N37" s="30">
        <f>IF(J37="","",IF(J37&gt;=Settings!$B$15,"Yes","No"))</f>
        <v/>
      </c>
      <c r="O37" s="37">
        <f>IFERROR(IF($D37="","",SUMIF('Pre-Test Entry'!$C$3:$AQ$3,Settings!$A$28,'Pre-Test Entry'!$C37:$AQ37)/Settings!$C$28),"")</f>
        <v/>
      </c>
      <c r="P37" s="37">
        <f>IFERROR(IF($D37="","",SUMIF('Pre-Test Entry'!$C$3:$AQ$3,Settings!$A$29,'Pre-Test Entry'!$C37:$AQ37)/Settings!$C$29),"")</f>
        <v/>
      </c>
      <c r="Q37" s="37">
        <f>IFERROR(IF($D37="","",SUMIF('Pre-Test Entry'!$C$3:$AQ$3,Settings!$A$30,'Pre-Test Entry'!$C37:$AQ37)/Settings!$C$30),"")</f>
        <v/>
      </c>
      <c r="R37" s="37">
        <f>IFERROR(IF($D37="","",SUMIF('Pre-Test Entry'!$C$3:$AQ$3,Settings!$A$31,'Pre-Test Entry'!$C37:$AQ37)/Settings!$C$31),"")</f>
        <v/>
      </c>
      <c r="S37" s="37">
        <f>IFERROR(IF($D37="","",SUMIF('Pre-Test Entry'!$C$3:$AQ$3,Settings!$A$32,'Pre-Test Entry'!$C37:$AQ37)/Settings!$C$32),"")</f>
        <v/>
      </c>
      <c r="T37" s="37">
        <f>IFERROR(IF($D37="","",SUMIF('Pre-Test Entry'!$C$3:$AQ$3,Settings!$A$33,'Pre-Test Entry'!$C37:$AQ37)/Settings!$C$33),"")</f>
        <v/>
      </c>
      <c r="U37" s="37">
        <f>IFERROR(IF($D37="","",SUMIF('Pre-Test Entry'!$C$3:$AQ$3,Settings!$A$34,'Pre-Test Entry'!$C37:$AQ37)/Settings!$C$34),"")</f>
        <v/>
      </c>
      <c r="V37" s="37">
        <f>IFERROR(IF($G37="","",SUMIF('Post-Test Entry'!$C$3:$AQ$3,Settings!$A$28,'Post-Test Entry'!$C37:$AQ37)/Settings!$C$28),"")</f>
        <v/>
      </c>
      <c r="W37" s="37">
        <f>IFERROR(IF($G37="","",SUMIF('Post-Test Entry'!$C$3:$AQ$3,Settings!$A$29,'Post-Test Entry'!$C37:$AQ37)/Settings!$C$29),"")</f>
        <v/>
      </c>
      <c r="X37" s="37">
        <f>IFERROR(IF($G37="","",SUMIF('Post-Test Entry'!$C$3:$AQ$3,Settings!$A$30,'Post-Test Entry'!$C37:$AQ37)/Settings!$C$30),"")</f>
        <v/>
      </c>
      <c r="Y37" s="37">
        <f>IFERROR(IF($G37="","",SUMIF('Post-Test Entry'!$C$3:$AQ$3,Settings!$A$31,'Post-Test Entry'!$C37:$AQ37)/Settings!$C$31),"")</f>
        <v/>
      </c>
      <c r="Z37" s="37">
        <f>IFERROR(IF($G37="","",SUMIF('Post-Test Entry'!$C$3:$AQ$3,Settings!$A$32,'Post-Test Entry'!$C37:$AQ37)/Settings!$C$32),"")</f>
        <v/>
      </c>
      <c r="AA37" s="37">
        <f>IFERROR(IF($G37="","",SUMIF('Post-Test Entry'!$C$3:$AQ$3,Settings!$A$33,'Post-Test Entry'!$C37:$AQ37)/Settings!$C$33),"")</f>
        <v/>
      </c>
      <c r="AB37" s="37">
        <f>IFERROR(IF($G37="","",SUMIF('Post-Test Entry'!$C$3:$AQ$3,Settings!$A$34,'Post-Test Entry'!$C37:$AQ37)/Settings!$C$34),"")</f>
        <v/>
      </c>
      <c r="AC37" s="37">
        <f>IF(OR(O37="",V37=""),"",V37-O37)</f>
        <v/>
      </c>
      <c r="AD37" s="37">
        <f>IF(OR(P37="",W37=""),"",W37-P37)</f>
        <v/>
      </c>
      <c r="AE37" s="37">
        <f>IF(OR(Q37="",X37=""),"",X37-Q37)</f>
        <v/>
      </c>
      <c r="AF37" s="37">
        <f>IF(OR(R37="",Y37=""),"",Y37-R37)</f>
        <v/>
      </c>
      <c r="AG37" s="37">
        <f>IF(OR(S37="",Z37=""),"",Z37-S37)</f>
        <v/>
      </c>
      <c r="AH37" s="37">
        <f>IF(OR(T37="",AA37=""),"",AA37-T37)</f>
        <v/>
      </c>
      <c r="AI37" s="37">
        <f>IF(OR(U37="",AB37=""),"",AB37-U37)</f>
        <v/>
      </c>
      <c r="AJ37" s="30">
        <f>IFERROR(IF($G37&lt;&gt;"",INDEX($V$4:$AB$4,MATCH(MIN($V37:$AB37),$V37:$AB37,0)),IF($D37&lt;&gt;"",INDEX($O$4:$U$4,MATCH(MIN($O37:$U37),$O37:$U37,0)),"")),"")</f>
        <v/>
      </c>
      <c r="AK37" s="30">
        <f>IFERROR(IF($G37&lt;&gt;"",INDEX($V$4:$AB$4,MATCH(SMALL($V37:$AB37,2),$V37:$AB37,0)),IF($D37&lt;&gt;"",INDEX($O$4:$U$4,MATCH(SMALL($O37:$U37,2),$O37:$U37,0)),"")),"")</f>
        <v/>
      </c>
      <c r="AL37" s="30">
        <f>IF(OR(G37="",Settings!$B$17=""),"",IF(OR(ABS(G37-Settings!$B$5)&lt;=Settings!$B$17,ABS(G37-Settings!$B$6)&lt;=Settings!$B$17,ABS(G37-Settings!$B$7)&lt;=Settings!$B$17),"NEAR CUT",""))</f>
        <v/>
      </c>
      <c r="AM37" s="31">
        <f>IF('Post-Test Entry'!$AR37&lt;&gt;"","Post essay: code "&amp;'Post-Test Entry'!$AR37,IF('Pre-Test Entry'!$AR37&lt;&gt;"","Pre essay: code "&amp;'Pre-Test Entry'!$AR37,""))</f>
        <v/>
      </c>
      <c r="AN37" s="39">
        <f>IFERROR(IF($AJ37="","",INDEX(Settings!$D$28:$D$34,MATCH($AJ37,Settings!$A$28:$A$34,0))),"")</f>
        <v/>
      </c>
      <c r="AP37">
        <f>IF(D37="","",D37^2)</f>
        <v/>
      </c>
      <c r="AQ37">
        <f>IF(G37="","",G37^2)</f>
        <v/>
      </c>
    </row>
    <row r="38">
      <c r="A38" s="30">
        <f>IF(Roster!$A38="","",Roster!$A38)</f>
        <v/>
      </c>
      <c r="B38" s="31">
        <f>IF(Roster!$B38&lt;&gt;"",Roster!$C38&amp;" "&amp;Roster!$B38,"")</f>
        <v/>
      </c>
      <c r="C38" s="30">
        <f>IF(Roster!$B38&lt;&gt;"",Roster!$D38,"")</f>
        <v/>
      </c>
      <c r="D38" s="16">
        <f>IF(AND(Roster!$B38&lt;&gt;"",COUNT('Pre-Test Entry'!$C38:$AQ38)&gt;0),'Pre-Test Entry'!$AS38,"")</f>
        <v/>
      </c>
      <c r="E38" s="37">
        <f>IFERROR(D38/Settings!$B$8,"")</f>
        <v/>
      </c>
      <c r="F38" s="31">
        <f>IF(D38="","",IF(D38&gt;=Settings!$B$7,"Distinguished Learner",IF(D38&gt;=Settings!$B$6,"Proficient Learner",IF(D38&gt;=Settings!$B$5,"Developing Learner","Beginning Learner"))))</f>
        <v/>
      </c>
      <c r="G38" s="16">
        <f>IF(AND(Roster!$B38&lt;&gt;"",COUNT('Post-Test Entry'!$C38:$AQ38)&gt;0),'Post-Test Entry'!$AS38,"")</f>
        <v/>
      </c>
      <c r="H38" s="37">
        <f>IFERROR(G38/Settings!$B$8,"")</f>
        <v/>
      </c>
      <c r="I38" s="31">
        <f>IF(G38="","",IF(G38&gt;=Settings!$B$7,"Distinguished Learner",IF(G38&gt;=Settings!$B$6,"Proficient Learner",IF(G38&gt;=Settings!$B$5,"Developing Learner","Beginning Learner"))))</f>
        <v/>
      </c>
      <c r="J38" s="16">
        <f>IF(OR(D38="",G38=""),"",G38-D38)</f>
        <v/>
      </c>
      <c r="K38" s="37">
        <f>IFERROR(IF(OR(J38="",J38&lt;=0),"",(G38-D38)/(Settings!$B$8-D38)),"")</f>
        <v/>
      </c>
      <c r="L38" s="38">
        <f>IFERROR(IF(J38="","",(G38-D38)/(Settings!$B$17*SQRT(2))),"")</f>
        <v/>
      </c>
      <c r="M38" s="30">
        <f>IF(L38="","",IF(ABS(L38)&gt;=1.96,"Yes","No"))</f>
        <v/>
      </c>
      <c r="N38" s="30">
        <f>IF(J38="","",IF(J38&gt;=Settings!$B$15,"Yes","No"))</f>
        <v/>
      </c>
      <c r="O38" s="37">
        <f>IFERROR(IF($D38="","",SUMIF('Pre-Test Entry'!$C$3:$AQ$3,Settings!$A$28,'Pre-Test Entry'!$C38:$AQ38)/Settings!$C$28),"")</f>
        <v/>
      </c>
      <c r="P38" s="37">
        <f>IFERROR(IF($D38="","",SUMIF('Pre-Test Entry'!$C$3:$AQ$3,Settings!$A$29,'Pre-Test Entry'!$C38:$AQ38)/Settings!$C$29),"")</f>
        <v/>
      </c>
      <c r="Q38" s="37">
        <f>IFERROR(IF($D38="","",SUMIF('Pre-Test Entry'!$C$3:$AQ$3,Settings!$A$30,'Pre-Test Entry'!$C38:$AQ38)/Settings!$C$30),"")</f>
        <v/>
      </c>
      <c r="R38" s="37">
        <f>IFERROR(IF($D38="","",SUMIF('Pre-Test Entry'!$C$3:$AQ$3,Settings!$A$31,'Pre-Test Entry'!$C38:$AQ38)/Settings!$C$31),"")</f>
        <v/>
      </c>
      <c r="S38" s="37">
        <f>IFERROR(IF($D38="","",SUMIF('Pre-Test Entry'!$C$3:$AQ$3,Settings!$A$32,'Pre-Test Entry'!$C38:$AQ38)/Settings!$C$32),"")</f>
        <v/>
      </c>
      <c r="T38" s="37">
        <f>IFERROR(IF($D38="","",SUMIF('Pre-Test Entry'!$C$3:$AQ$3,Settings!$A$33,'Pre-Test Entry'!$C38:$AQ38)/Settings!$C$33),"")</f>
        <v/>
      </c>
      <c r="U38" s="37">
        <f>IFERROR(IF($D38="","",SUMIF('Pre-Test Entry'!$C$3:$AQ$3,Settings!$A$34,'Pre-Test Entry'!$C38:$AQ38)/Settings!$C$34),"")</f>
        <v/>
      </c>
      <c r="V38" s="37">
        <f>IFERROR(IF($G38="","",SUMIF('Post-Test Entry'!$C$3:$AQ$3,Settings!$A$28,'Post-Test Entry'!$C38:$AQ38)/Settings!$C$28),"")</f>
        <v/>
      </c>
      <c r="W38" s="37">
        <f>IFERROR(IF($G38="","",SUMIF('Post-Test Entry'!$C$3:$AQ$3,Settings!$A$29,'Post-Test Entry'!$C38:$AQ38)/Settings!$C$29),"")</f>
        <v/>
      </c>
      <c r="X38" s="37">
        <f>IFERROR(IF($G38="","",SUMIF('Post-Test Entry'!$C$3:$AQ$3,Settings!$A$30,'Post-Test Entry'!$C38:$AQ38)/Settings!$C$30),"")</f>
        <v/>
      </c>
      <c r="Y38" s="37">
        <f>IFERROR(IF($G38="","",SUMIF('Post-Test Entry'!$C$3:$AQ$3,Settings!$A$31,'Post-Test Entry'!$C38:$AQ38)/Settings!$C$31),"")</f>
        <v/>
      </c>
      <c r="Z38" s="37">
        <f>IFERROR(IF($G38="","",SUMIF('Post-Test Entry'!$C$3:$AQ$3,Settings!$A$32,'Post-Test Entry'!$C38:$AQ38)/Settings!$C$32),"")</f>
        <v/>
      </c>
      <c r="AA38" s="37">
        <f>IFERROR(IF($G38="","",SUMIF('Post-Test Entry'!$C$3:$AQ$3,Settings!$A$33,'Post-Test Entry'!$C38:$AQ38)/Settings!$C$33),"")</f>
        <v/>
      </c>
      <c r="AB38" s="37">
        <f>IFERROR(IF($G38="","",SUMIF('Post-Test Entry'!$C$3:$AQ$3,Settings!$A$34,'Post-Test Entry'!$C38:$AQ38)/Settings!$C$34),"")</f>
        <v/>
      </c>
      <c r="AC38" s="37">
        <f>IF(OR(O38="",V38=""),"",V38-O38)</f>
        <v/>
      </c>
      <c r="AD38" s="37">
        <f>IF(OR(P38="",W38=""),"",W38-P38)</f>
        <v/>
      </c>
      <c r="AE38" s="37">
        <f>IF(OR(Q38="",X38=""),"",X38-Q38)</f>
        <v/>
      </c>
      <c r="AF38" s="37">
        <f>IF(OR(R38="",Y38=""),"",Y38-R38)</f>
        <v/>
      </c>
      <c r="AG38" s="37">
        <f>IF(OR(S38="",Z38=""),"",Z38-S38)</f>
        <v/>
      </c>
      <c r="AH38" s="37">
        <f>IF(OR(T38="",AA38=""),"",AA38-T38)</f>
        <v/>
      </c>
      <c r="AI38" s="37">
        <f>IF(OR(U38="",AB38=""),"",AB38-U38)</f>
        <v/>
      </c>
      <c r="AJ38" s="30">
        <f>IFERROR(IF($G38&lt;&gt;"",INDEX($V$4:$AB$4,MATCH(MIN($V38:$AB38),$V38:$AB38,0)),IF($D38&lt;&gt;"",INDEX($O$4:$U$4,MATCH(MIN($O38:$U38),$O38:$U38,0)),"")),"")</f>
        <v/>
      </c>
      <c r="AK38" s="30">
        <f>IFERROR(IF($G38&lt;&gt;"",INDEX($V$4:$AB$4,MATCH(SMALL($V38:$AB38,2),$V38:$AB38,0)),IF($D38&lt;&gt;"",INDEX($O$4:$U$4,MATCH(SMALL($O38:$U38,2),$O38:$U38,0)),"")),"")</f>
        <v/>
      </c>
      <c r="AL38" s="30">
        <f>IF(OR(G38="",Settings!$B$17=""),"",IF(OR(ABS(G38-Settings!$B$5)&lt;=Settings!$B$17,ABS(G38-Settings!$B$6)&lt;=Settings!$B$17,ABS(G38-Settings!$B$7)&lt;=Settings!$B$17),"NEAR CUT",""))</f>
        <v/>
      </c>
      <c r="AM38" s="31">
        <f>IF('Post-Test Entry'!$AR38&lt;&gt;"","Post essay: code "&amp;'Post-Test Entry'!$AR38,IF('Pre-Test Entry'!$AR38&lt;&gt;"","Pre essay: code "&amp;'Pre-Test Entry'!$AR38,""))</f>
        <v/>
      </c>
      <c r="AN38" s="39">
        <f>IFERROR(IF($AJ38="","",INDEX(Settings!$D$28:$D$34,MATCH($AJ38,Settings!$A$28:$A$34,0))),"")</f>
        <v/>
      </c>
      <c r="AP38">
        <f>IF(D38="","",D38^2)</f>
        <v/>
      </c>
      <c r="AQ38">
        <f>IF(G38="","",G38^2)</f>
        <v/>
      </c>
    </row>
    <row r="39">
      <c r="A39" s="30">
        <f>IF(Roster!$A39="","",Roster!$A39)</f>
        <v/>
      </c>
      <c r="B39" s="31">
        <f>IF(Roster!$B39&lt;&gt;"",Roster!$C39&amp;" "&amp;Roster!$B39,"")</f>
        <v/>
      </c>
      <c r="C39" s="30">
        <f>IF(Roster!$B39&lt;&gt;"",Roster!$D39,"")</f>
        <v/>
      </c>
      <c r="D39" s="16">
        <f>IF(AND(Roster!$B39&lt;&gt;"",COUNT('Pre-Test Entry'!$C39:$AQ39)&gt;0),'Pre-Test Entry'!$AS39,"")</f>
        <v/>
      </c>
      <c r="E39" s="37">
        <f>IFERROR(D39/Settings!$B$8,"")</f>
        <v/>
      </c>
      <c r="F39" s="31">
        <f>IF(D39="","",IF(D39&gt;=Settings!$B$7,"Distinguished Learner",IF(D39&gt;=Settings!$B$6,"Proficient Learner",IF(D39&gt;=Settings!$B$5,"Developing Learner","Beginning Learner"))))</f>
        <v/>
      </c>
      <c r="G39" s="16">
        <f>IF(AND(Roster!$B39&lt;&gt;"",COUNT('Post-Test Entry'!$C39:$AQ39)&gt;0),'Post-Test Entry'!$AS39,"")</f>
        <v/>
      </c>
      <c r="H39" s="37">
        <f>IFERROR(G39/Settings!$B$8,"")</f>
        <v/>
      </c>
      <c r="I39" s="31">
        <f>IF(G39="","",IF(G39&gt;=Settings!$B$7,"Distinguished Learner",IF(G39&gt;=Settings!$B$6,"Proficient Learner",IF(G39&gt;=Settings!$B$5,"Developing Learner","Beginning Learner"))))</f>
        <v/>
      </c>
      <c r="J39" s="16">
        <f>IF(OR(D39="",G39=""),"",G39-D39)</f>
        <v/>
      </c>
      <c r="K39" s="37">
        <f>IFERROR(IF(OR(J39="",J39&lt;=0),"",(G39-D39)/(Settings!$B$8-D39)),"")</f>
        <v/>
      </c>
      <c r="L39" s="38">
        <f>IFERROR(IF(J39="","",(G39-D39)/(Settings!$B$17*SQRT(2))),"")</f>
        <v/>
      </c>
      <c r="M39" s="30">
        <f>IF(L39="","",IF(ABS(L39)&gt;=1.96,"Yes","No"))</f>
        <v/>
      </c>
      <c r="N39" s="30">
        <f>IF(J39="","",IF(J39&gt;=Settings!$B$15,"Yes","No"))</f>
        <v/>
      </c>
      <c r="O39" s="37">
        <f>IFERROR(IF($D39="","",SUMIF('Pre-Test Entry'!$C$3:$AQ$3,Settings!$A$28,'Pre-Test Entry'!$C39:$AQ39)/Settings!$C$28),"")</f>
        <v/>
      </c>
      <c r="P39" s="37">
        <f>IFERROR(IF($D39="","",SUMIF('Pre-Test Entry'!$C$3:$AQ$3,Settings!$A$29,'Pre-Test Entry'!$C39:$AQ39)/Settings!$C$29),"")</f>
        <v/>
      </c>
      <c r="Q39" s="37">
        <f>IFERROR(IF($D39="","",SUMIF('Pre-Test Entry'!$C$3:$AQ$3,Settings!$A$30,'Pre-Test Entry'!$C39:$AQ39)/Settings!$C$30),"")</f>
        <v/>
      </c>
      <c r="R39" s="37">
        <f>IFERROR(IF($D39="","",SUMIF('Pre-Test Entry'!$C$3:$AQ$3,Settings!$A$31,'Pre-Test Entry'!$C39:$AQ39)/Settings!$C$31),"")</f>
        <v/>
      </c>
      <c r="S39" s="37">
        <f>IFERROR(IF($D39="","",SUMIF('Pre-Test Entry'!$C$3:$AQ$3,Settings!$A$32,'Pre-Test Entry'!$C39:$AQ39)/Settings!$C$32),"")</f>
        <v/>
      </c>
      <c r="T39" s="37">
        <f>IFERROR(IF($D39="","",SUMIF('Pre-Test Entry'!$C$3:$AQ$3,Settings!$A$33,'Pre-Test Entry'!$C39:$AQ39)/Settings!$C$33),"")</f>
        <v/>
      </c>
      <c r="U39" s="37">
        <f>IFERROR(IF($D39="","",SUMIF('Pre-Test Entry'!$C$3:$AQ$3,Settings!$A$34,'Pre-Test Entry'!$C39:$AQ39)/Settings!$C$34),"")</f>
        <v/>
      </c>
      <c r="V39" s="37">
        <f>IFERROR(IF($G39="","",SUMIF('Post-Test Entry'!$C$3:$AQ$3,Settings!$A$28,'Post-Test Entry'!$C39:$AQ39)/Settings!$C$28),"")</f>
        <v/>
      </c>
      <c r="W39" s="37">
        <f>IFERROR(IF($G39="","",SUMIF('Post-Test Entry'!$C$3:$AQ$3,Settings!$A$29,'Post-Test Entry'!$C39:$AQ39)/Settings!$C$29),"")</f>
        <v/>
      </c>
      <c r="X39" s="37">
        <f>IFERROR(IF($G39="","",SUMIF('Post-Test Entry'!$C$3:$AQ$3,Settings!$A$30,'Post-Test Entry'!$C39:$AQ39)/Settings!$C$30),"")</f>
        <v/>
      </c>
      <c r="Y39" s="37">
        <f>IFERROR(IF($G39="","",SUMIF('Post-Test Entry'!$C$3:$AQ$3,Settings!$A$31,'Post-Test Entry'!$C39:$AQ39)/Settings!$C$31),"")</f>
        <v/>
      </c>
      <c r="Z39" s="37">
        <f>IFERROR(IF($G39="","",SUMIF('Post-Test Entry'!$C$3:$AQ$3,Settings!$A$32,'Post-Test Entry'!$C39:$AQ39)/Settings!$C$32),"")</f>
        <v/>
      </c>
      <c r="AA39" s="37">
        <f>IFERROR(IF($G39="","",SUMIF('Post-Test Entry'!$C$3:$AQ$3,Settings!$A$33,'Post-Test Entry'!$C39:$AQ39)/Settings!$C$33),"")</f>
        <v/>
      </c>
      <c r="AB39" s="37">
        <f>IFERROR(IF($G39="","",SUMIF('Post-Test Entry'!$C$3:$AQ$3,Settings!$A$34,'Post-Test Entry'!$C39:$AQ39)/Settings!$C$34),"")</f>
        <v/>
      </c>
      <c r="AC39" s="37">
        <f>IF(OR(O39="",V39=""),"",V39-O39)</f>
        <v/>
      </c>
      <c r="AD39" s="37">
        <f>IF(OR(P39="",W39=""),"",W39-P39)</f>
        <v/>
      </c>
      <c r="AE39" s="37">
        <f>IF(OR(Q39="",X39=""),"",X39-Q39)</f>
        <v/>
      </c>
      <c r="AF39" s="37">
        <f>IF(OR(R39="",Y39=""),"",Y39-R39)</f>
        <v/>
      </c>
      <c r="AG39" s="37">
        <f>IF(OR(S39="",Z39=""),"",Z39-S39)</f>
        <v/>
      </c>
      <c r="AH39" s="37">
        <f>IF(OR(T39="",AA39=""),"",AA39-T39)</f>
        <v/>
      </c>
      <c r="AI39" s="37">
        <f>IF(OR(U39="",AB39=""),"",AB39-U39)</f>
        <v/>
      </c>
      <c r="AJ39" s="30">
        <f>IFERROR(IF($G39&lt;&gt;"",INDEX($V$4:$AB$4,MATCH(MIN($V39:$AB39),$V39:$AB39,0)),IF($D39&lt;&gt;"",INDEX($O$4:$U$4,MATCH(MIN($O39:$U39),$O39:$U39,0)),"")),"")</f>
        <v/>
      </c>
      <c r="AK39" s="30">
        <f>IFERROR(IF($G39&lt;&gt;"",INDEX($V$4:$AB$4,MATCH(SMALL($V39:$AB39,2),$V39:$AB39,0)),IF($D39&lt;&gt;"",INDEX($O$4:$U$4,MATCH(SMALL($O39:$U39,2),$O39:$U39,0)),"")),"")</f>
        <v/>
      </c>
      <c r="AL39" s="30">
        <f>IF(OR(G39="",Settings!$B$17=""),"",IF(OR(ABS(G39-Settings!$B$5)&lt;=Settings!$B$17,ABS(G39-Settings!$B$6)&lt;=Settings!$B$17,ABS(G39-Settings!$B$7)&lt;=Settings!$B$17),"NEAR CUT",""))</f>
        <v/>
      </c>
      <c r="AM39" s="31">
        <f>IF('Post-Test Entry'!$AR39&lt;&gt;"","Post essay: code "&amp;'Post-Test Entry'!$AR39,IF('Pre-Test Entry'!$AR39&lt;&gt;"","Pre essay: code "&amp;'Pre-Test Entry'!$AR39,""))</f>
        <v/>
      </c>
      <c r="AN39" s="39">
        <f>IFERROR(IF($AJ39="","",INDEX(Settings!$D$28:$D$34,MATCH($AJ39,Settings!$A$28:$A$34,0))),"")</f>
        <v/>
      </c>
      <c r="AP39">
        <f>IF(D39="","",D39^2)</f>
        <v/>
      </c>
      <c r="AQ39">
        <f>IF(G39="","",G39^2)</f>
        <v/>
      </c>
    </row>
    <row r="40">
      <c r="A40" s="30">
        <f>IF(Roster!$A40="","",Roster!$A40)</f>
        <v/>
      </c>
      <c r="B40" s="31">
        <f>IF(Roster!$B40&lt;&gt;"",Roster!$C40&amp;" "&amp;Roster!$B40,"")</f>
        <v/>
      </c>
      <c r="C40" s="30">
        <f>IF(Roster!$B40&lt;&gt;"",Roster!$D40,"")</f>
        <v/>
      </c>
      <c r="D40" s="16">
        <f>IF(AND(Roster!$B40&lt;&gt;"",COUNT('Pre-Test Entry'!$C40:$AQ40)&gt;0),'Pre-Test Entry'!$AS40,"")</f>
        <v/>
      </c>
      <c r="E40" s="37">
        <f>IFERROR(D40/Settings!$B$8,"")</f>
        <v/>
      </c>
      <c r="F40" s="31">
        <f>IF(D40="","",IF(D40&gt;=Settings!$B$7,"Distinguished Learner",IF(D40&gt;=Settings!$B$6,"Proficient Learner",IF(D40&gt;=Settings!$B$5,"Developing Learner","Beginning Learner"))))</f>
        <v/>
      </c>
      <c r="G40" s="16">
        <f>IF(AND(Roster!$B40&lt;&gt;"",COUNT('Post-Test Entry'!$C40:$AQ40)&gt;0),'Post-Test Entry'!$AS40,"")</f>
        <v/>
      </c>
      <c r="H40" s="37">
        <f>IFERROR(G40/Settings!$B$8,"")</f>
        <v/>
      </c>
      <c r="I40" s="31">
        <f>IF(G40="","",IF(G40&gt;=Settings!$B$7,"Distinguished Learner",IF(G40&gt;=Settings!$B$6,"Proficient Learner",IF(G40&gt;=Settings!$B$5,"Developing Learner","Beginning Learner"))))</f>
        <v/>
      </c>
      <c r="J40" s="16">
        <f>IF(OR(D40="",G40=""),"",G40-D40)</f>
        <v/>
      </c>
      <c r="K40" s="37">
        <f>IFERROR(IF(OR(J40="",J40&lt;=0),"",(G40-D40)/(Settings!$B$8-D40)),"")</f>
        <v/>
      </c>
      <c r="L40" s="38">
        <f>IFERROR(IF(J40="","",(G40-D40)/(Settings!$B$17*SQRT(2))),"")</f>
        <v/>
      </c>
      <c r="M40" s="30">
        <f>IF(L40="","",IF(ABS(L40)&gt;=1.96,"Yes","No"))</f>
        <v/>
      </c>
      <c r="N40" s="30">
        <f>IF(J40="","",IF(J40&gt;=Settings!$B$15,"Yes","No"))</f>
        <v/>
      </c>
      <c r="O40" s="37">
        <f>IFERROR(IF($D40="","",SUMIF('Pre-Test Entry'!$C$3:$AQ$3,Settings!$A$28,'Pre-Test Entry'!$C40:$AQ40)/Settings!$C$28),"")</f>
        <v/>
      </c>
      <c r="P40" s="37">
        <f>IFERROR(IF($D40="","",SUMIF('Pre-Test Entry'!$C$3:$AQ$3,Settings!$A$29,'Pre-Test Entry'!$C40:$AQ40)/Settings!$C$29),"")</f>
        <v/>
      </c>
      <c r="Q40" s="37">
        <f>IFERROR(IF($D40="","",SUMIF('Pre-Test Entry'!$C$3:$AQ$3,Settings!$A$30,'Pre-Test Entry'!$C40:$AQ40)/Settings!$C$30),"")</f>
        <v/>
      </c>
      <c r="R40" s="37">
        <f>IFERROR(IF($D40="","",SUMIF('Pre-Test Entry'!$C$3:$AQ$3,Settings!$A$31,'Pre-Test Entry'!$C40:$AQ40)/Settings!$C$31),"")</f>
        <v/>
      </c>
      <c r="S40" s="37">
        <f>IFERROR(IF($D40="","",SUMIF('Pre-Test Entry'!$C$3:$AQ$3,Settings!$A$32,'Pre-Test Entry'!$C40:$AQ40)/Settings!$C$32),"")</f>
        <v/>
      </c>
      <c r="T40" s="37">
        <f>IFERROR(IF($D40="","",SUMIF('Pre-Test Entry'!$C$3:$AQ$3,Settings!$A$33,'Pre-Test Entry'!$C40:$AQ40)/Settings!$C$33),"")</f>
        <v/>
      </c>
      <c r="U40" s="37">
        <f>IFERROR(IF($D40="","",SUMIF('Pre-Test Entry'!$C$3:$AQ$3,Settings!$A$34,'Pre-Test Entry'!$C40:$AQ40)/Settings!$C$34),"")</f>
        <v/>
      </c>
      <c r="V40" s="37">
        <f>IFERROR(IF($G40="","",SUMIF('Post-Test Entry'!$C$3:$AQ$3,Settings!$A$28,'Post-Test Entry'!$C40:$AQ40)/Settings!$C$28),"")</f>
        <v/>
      </c>
      <c r="W40" s="37">
        <f>IFERROR(IF($G40="","",SUMIF('Post-Test Entry'!$C$3:$AQ$3,Settings!$A$29,'Post-Test Entry'!$C40:$AQ40)/Settings!$C$29),"")</f>
        <v/>
      </c>
      <c r="X40" s="37">
        <f>IFERROR(IF($G40="","",SUMIF('Post-Test Entry'!$C$3:$AQ$3,Settings!$A$30,'Post-Test Entry'!$C40:$AQ40)/Settings!$C$30),"")</f>
        <v/>
      </c>
      <c r="Y40" s="37">
        <f>IFERROR(IF($G40="","",SUMIF('Post-Test Entry'!$C$3:$AQ$3,Settings!$A$31,'Post-Test Entry'!$C40:$AQ40)/Settings!$C$31),"")</f>
        <v/>
      </c>
      <c r="Z40" s="37">
        <f>IFERROR(IF($G40="","",SUMIF('Post-Test Entry'!$C$3:$AQ$3,Settings!$A$32,'Post-Test Entry'!$C40:$AQ40)/Settings!$C$32),"")</f>
        <v/>
      </c>
      <c r="AA40" s="37">
        <f>IFERROR(IF($G40="","",SUMIF('Post-Test Entry'!$C$3:$AQ$3,Settings!$A$33,'Post-Test Entry'!$C40:$AQ40)/Settings!$C$33),"")</f>
        <v/>
      </c>
      <c r="AB40" s="37">
        <f>IFERROR(IF($G40="","",SUMIF('Post-Test Entry'!$C$3:$AQ$3,Settings!$A$34,'Post-Test Entry'!$C40:$AQ40)/Settings!$C$34),"")</f>
        <v/>
      </c>
      <c r="AC40" s="37">
        <f>IF(OR(O40="",V40=""),"",V40-O40)</f>
        <v/>
      </c>
      <c r="AD40" s="37">
        <f>IF(OR(P40="",W40=""),"",W40-P40)</f>
        <v/>
      </c>
      <c r="AE40" s="37">
        <f>IF(OR(Q40="",X40=""),"",X40-Q40)</f>
        <v/>
      </c>
      <c r="AF40" s="37">
        <f>IF(OR(R40="",Y40=""),"",Y40-R40)</f>
        <v/>
      </c>
      <c r="AG40" s="37">
        <f>IF(OR(S40="",Z40=""),"",Z40-S40)</f>
        <v/>
      </c>
      <c r="AH40" s="37">
        <f>IF(OR(T40="",AA40=""),"",AA40-T40)</f>
        <v/>
      </c>
      <c r="AI40" s="37">
        <f>IF(OR(U40="",AB40=""),"",AB40-U40)</f>
        <v/>
      </c>
      <c r="AJ40" s="30">
        <f>IFERROR(IF($G40&lt;&gt;"",INDEX($V$4:$AB$4,MATCH(MIN($V40:$AB40),$V40:$AB40,0)),IF($D40&lt;&gt;"",INDEX($O$4:$U$4,MATCH(MIN($O40:$U40),$O40:$U40,0)),"")),"")</f>
        <v/>
      </c>
      <c r="AK40" s="30">
        <f>IFERROR(IF($G40&lt;&gt;"",INDEX($V$4:$AB$4,MATCH(SMALL($V40:$AB40,2),$V40:$AB40,0)),IF($D40&lt;&gt;"",INDEX($O$4:$U$4,MATCH(SMALL($O40:$U40,2),$O40:$U40,0)),"")),"")</f>
        <v/>
      </c>
      <c r="AL40" s="30">
        <f>IF(OR(G40="",Settings!$B$17=""),"",IF(OR(ABS(G40-Settings!$B$5)&lt;=Settings!$B$17,ABS(G40-Settings!$B$6)&lt;=Settings!$B$17,ABS(G40-Settings!$B$7)&lt;=Settings!$B$17),"NEAR CUT",""))</f>
        <v/>
      </c>
      <c r="AM40" s="31">
        <f>IF('Post-Test Entry'!$AR40&lt;&gt;"","Post essay: code "&amp;'Post-Test Entry'!$AR40,IF('Pre-Test Entry'!$AR40&lt;&gt;"","Pre essay: code "&amp;'Pre-Test Entry'!$AR40,""))</f>
        <v/>
      </c>
      <c r="AN40" s="39">
        <f>IFERROR(IF($AJ40="","",INDEX(Settings!$D$28:$D$34,MATCH($AJ40,Settings!$A$28:$A$34,0))),"")</f>
        <v/>
      </c>
      <c r="AP40">
        <f>IF(D40="","",D40^2)</f>
        <v/>
      </c>
      <c r="AQ40">
        <f>IF(G40="","",G40^2)</f>
        <v/>
      </c>
    </row>
    <row r="41">
      <c r="A41" s="30">
        <f>IF(Roster!$A41="","",Roster!$A41)</f>
        <v/>
      </c>
      <c r="B41" s="31">
        <f>IF(Roster!$B41&lt;&gt;"",Roster!$C41&amp;" "&amp;Roster!$B41,"")</f>
        <v/>
      </c>
      <c r="C41" s="30">
        <f>IF(Roster!$B41&lt;&gt;"",Roster!$D41,"")</f>
        <v/>
      </c>
      <c r="D41" s="16">
        <f>IF(AND(Roster!$B41&lt;&gt;"",COUNT('Pre-Test Entry'!$C41:$AQ41)&gt;0),'Pre-Test Entry'!$AS41,"")</f>
        <v/>
      </c>
      <c r="E41" s="37">
        <f>IFERROR(D41/Settings!$B$8,"")</f>
        <v/>
      </c>
      <c r="F41" s="31">
        <f>IF(D41="","",IF(D41&gt;=Settings!$B$7,"Distinguished Learner",IF(D41&gt;=Settings!$B$6,"Proficient Learner",IF(D41&gt;=Settings!$B$5,"Developing Learner","Beginning Learner"))))</f>
        <v/>
      </c>
      <c r="G41" s="16">
        <f>IF(AND(Roster!$B41&lt;&gt;"",COUNT('Post-Test Entry'!$C41:$AQ41)&gt;0),'Post-Test Entry'!$AS41,"")</f>
        <v/>
      </c>
      <c r="H41" s="37">
        <f>IFERROR(G41/Settings!$B$8,"")</f>
        <v/>
      </c>
      <c r="I41" s="31">
        <f>IF(G41="","",IF(G41&gt;=Settings!$B$7,"Distinguished Learner",IF(G41&gt;=Settings!$B$6,"Proficient Learner",IF(G41&gt;=Settings!$B$5,"Developing Learner","Beginning Learner"))))</f>
        <v/>
      </c>
      <c r="J41" s="16">
        <f>IF(OR(D41="",G41=""),"",G41-D41)</f>
        <v/>
      </c>
      <c r="K41" s="37">
        <f>IFERROR(IF(OR(J41="",J41&lt;=0),"",(G41-D41)/(Settings!$B$8-D41)),"")</f>
        <v/>
      </c>
      <c r="L41" s="38">
        <f>IFERROR(IF(J41="","",(G41-D41)/(Settings!$B$17*SQRT(2))),"")</f>
        <v/>
      </c>
      <c r="M41" s="30">
        <f>IF(L41="","",IF(ABS(L41)&gt;=1.96,"Yes","No"))</f>
        <v/>
      </c>
      <c r="N41" s="30">
        <f>IF(J41="","",IF(J41&gt;=Settings!$B$15,"Yes","No"))</f>
        <v/>
      </c>
      <c r="O41" s="37">
        <f>IFERROR(IF($D41="","",SUMIF('Pre-Test Entry'!$C$3:$AQ$3,Settings!$A$28,'Pre-Test Entry'!$C41:$AQ41)/Settings!$C$28),"")</f>
        <v/>
      </c>
      <c r="P41" s="37">
        <f>IFERROR(IF($D41="","",SUMIF('Pre-Test Entry'!$C$3:$AQ$3,Settings!$A$29,'Pre-Test Entry'!$C41:$AQ41)/Settings!$C$29),"")</f>
        <v/>
      </c>
      <c r="Q41" s="37">
        <f>IFERROR(IF($D41="","",SUMIF('Pre-Test Entry'!$C$3:$AQ$3,Settings!$A$30,'Pre-Test Entry'!$C41:$AQ41)/Settings!$C$30),"")</f>
        <v/>
      </c>
      <c r="R41" s="37">
        <f>IFERROR(IF($D41="","",SUMIF('Pre-Test Entry'!$C$3:$AQ$3,Settings!$A$31,'Pre-Test Entry'!$C41:$AQ41)/Settings!$C$31),"")</f>
        <v/>
      </c>
      <c r="S41" s="37">
        <f>IFERROR(IF($D41="","",SUMIF('Pre-Test Entry'!$C$3:$AQ$3,Settings!$A$32,'Pre-Test Entry'!$C41:$AQ41)/Settings!$C$32),"")</f>
        <v/>
      </c>
      <c r="T41" s="37">
        <f>IFERROR(IF($D41="","",SUMIF('Pre-Test Entry'!$C$3:$AQ$3,Settings!$A$33,'Pre-Test Entry'!$C41:$AQ41)/Settings!$C$33),"")</f>
        <v/>
      </c>
      <c r="U41" s="37">
        <f>IFERROR(IF($D41="","",SUMIF('Pre-Test Entry'!$C$3:$AQ$3,Settings!$A$34,'Pre-Test Entry'!$C41:$AQ41)/Settings!$C$34),"")</f>
        <v/>
      </c>
      <c r="V41" s="37">
        <f>IFERROR(IF($G41="","",SUMIF('Post-Test Entry'!$C$3:$AQ$3,Settings!$A$28,'Post-Test Entry'!$C41:$AQ41)/Settings!$C$28),"")</f>
        <v/>
      </c>
      <c r="W41" s="37">
        <f>IFERROR(IF($G41="","",SUMIF('Post-Test Entry'!$C$3:$AQ$3,Settings!$A$29,'Post-Test Entry'!$C41:$AQ41)/Settings!$C$29),"")</f>
        <v/>
      </c>
      <c r="X41" s="37">
        <f>IFERROR(IF($G41="","",SUMIF('Post-Test Entry'!$C$3:$AQ$3,Settings!$A$30,'Post-Test Entry'!$C41:$AQ41)/Settings!$C$30),"")</f>
        <v/>
      </c>
      <c r="Y41" s="37">
        <f>IFERROR(IF($G41="","",SUMIF('Post-Test Entry'!$C$3:$AQ$3,Settings!$A$31,'Post-Test Entry'!$C41:$AQ41)/Settings!$C$31),"")</f>
        <v/>
      </c>
      <c r="Z41" s="37">
        <f>IFERROR(IF($G41="","",SUMIF('Post-Test Entry'!$C$3:$AQ$3,Settings!$A$32,'Post-Test Entry'!$C41:$AQ41)/Settings!$C$32),"")</f>
        <v/>
      </c>
      <c r="AA41" s="37">
        <f>IFERROR(IF($G41="","",SUMIF('Post-Test Entry'!$C$3:$AQ$3,Settings!$A$33,'Post-Test Entry'!$C41:$AQ41)/Settings!$C$33),"")</f>
        <v/>
      </c>
      <c r="AB41" s="37">
        <f>IFERROR(IF($G41="","",SUMIF('Post-Test Entry'!$C$3:$AQ$3,Settings!$A$34,'Post-Test Entry'!$C41:$AQ41)/Settings!$C$34),"")</f>
        <v/>
      </c>
      <c r="AC41" s="37">
        <f>IF(OR(O41="",V41=""),"",V41-O41)</f>
        <v/>
      </c>
      <c r="AD41" s="37">
        <f>IF(OR(P41="",W41=""),"",W41-P41)</f>
        <v/>
      </c>
      <c r="AE41" s="37">
        <f>IF(OR(Q41="",X41=""),"",X41-Q41)</f>
        <v/>
      </c>
      <c r="AF41" s="37">
        <f>IF(OR(R41="",Y41=""),"",Y41-R41)</f>
        <v/>
      </c>
      <c r="AG41" s="37">
        <f>IF(OR(S41="",Z41=""),"",Z41-S41)</f>
        <v/>
      </c>
      <c r="AH41" s="37">
        <f>IF(OR(T41="",AA41=""),"",AA41-T41)</f>
        <v/>
      </c>
      <c r="AI41" s="37">
        <f>IF(OR(U41="",AB41=""),"",AB41-U41)</f>
        <v/>
      </c>
      <c r="AJ41" s="30">
        <f>IFERROR(IF($G41&lt;&gt;"",INDEX($V$4:$AB$4,MATCH(MIN($V41:$AB41),$V41:$AB41,0)),IF($D41&lt;&gt;"",INDEX($O$4:$U$4,MATCH(MIN($O41:$U41),$O41:$U41,0)),"")),"")</f>
        <v/>
      </c>
      <c r="AK41" s="30">
        <f>IFERROR(IF($G41&lt;&gt;"",INDEX($V$4:$AB$4,MATCH(SMALL($V41:$AB41,2),$V41:$AB41,0)),IF($D41&lt;&gt;"",INDEX($O$4:$U$4,MATCH(SMALL($O41:$U41,2),$O41:$U41,0)),"")),"")</f>
        <v/>
      </c>
      <c r="AL41" s="30">
        <f>IF(OR(G41="",Settings!$B$17=""),"",IF(OR(ABS(G41-Settings!$B$5)&lt;=Settings!$B$17,ABS(G41-Settings!$B$6)&lt;=Settings!$B$17,ABS(G41-Settings!$B$7)&lt;=Settings!$B$17),"NEAR CUT",""))</f>
        <v/>
      </c>
      <c r="AM41" s="31">
        <f>IF('Post-Test Entry'!$AR41&lt;&gt;"","Post essay: code "&amp;'Post-Test Entry'!$AR41,IF('Pre-Test Entry'!$AR41&lt;&gt;"","Pre essay: code "&amp;'Pre-Test Entry'!$AR41,""))</f>
        <v/>
      </c>
      <c r="AN41" s="39">
        <f>IFERROR(IF($AJ41="","",INDEX(Settings!$D$28:$D$34,MATCH($AJ41,Settings!$A$28:$A$34,0))),"")</f>
        <v/>
      </c>
      <c r="AP41">
        <f>IF(D41="","",D41^2)</f>
        <v/>
      </c>
      <c r="AQ41">
        <f>IF(G41="","",G41^2)</f>
        <v/>
      </c>
    </row>
    <row r="42">
      <c r="A42" s="30">
        <f>IF(Roster!$A42="","",Roster!$A42)</f>
        <v/>
      </c>
      <c r="B42" s="31">
        <f>IF(Roster!$B42&lt;&gt;"",Roster!$C42&amp;" "&amp;Roster!$B42,"")</f>
        <v/>
      </c>
      <c r="C42" s="30">
        <f>IF(Roster!$B42&lt;&gt;"",Roster!$D42,"")</f>
        <v/>
      </c>
      <c r="D42" s="16">
        <f>IF(AND(Roster!$B42&lt;&gt;"",COUNT('Pre-Test Entry'!$C42:$AQ42)&gt;0),'Pre-Test Entry'!$AS42,"")</f>
        <v/>
      </c>
      <c r="E42" s="37">
        <f>IFERROR(D42/Settings!$B$8,"")</f>
        <v/>
      </c>
      <c r="F42" s="31">
        <f>IF(D42="","",IF(D42&gt;=Settings!$B$7,"Distinguished Learner",IF(D42&gt;=Settings!$B$6,"Proficient Learner",IF(D42&gt;=Settings!$B$5,"Developing Learner","Beginning Learner"))))</f>
        <v/>
      </c>
      <c r="G42" s="16">
        <f>IF(AND(Roster!$B42&lt;&gt;"",COUNT('Post-Test Entry'!$C42:$AQ42)&gt;0),'Post-Test Entry'!$AS42,"")</f>
        <v/>
      </c>
      <c r="H42" s="37">
        <f>IFERROR(G42/Settings!$B$8,"")</f>
        <v/>
      </c>
      <c r="I42" s="31">
        <f>IF(G42="","",IF(G42&gt;=Settings!$B$7,"Distinguished Learner",IF(G42&gt;=Settings!$B$6,"Proficient Learner",IF(G42&gt;=Settings!$B$5,"Developing Learner","Beginning Learner"))))</f>
        <v/>
      </c>
      <c r="J42" s="16">
        <f>IF(OR(D42="",G42=""),"",G42-D42)</f>
        <v/>
      </c>
      <c r="K42" s="37">
        <f>IFERROR(IF(OR(J42="",J42&lt;=0),"",(G42-D42)/(Settings!$B$8-D42)),"")</f>
        <v/>
      </c>
      <c r="L42" s="38">
        <f>IFERROR(IF(J42="","",(G42-D42)/(Settings!$B$17*SQRT(2))),"")</f>
        <v/>
      </c>
      <c r="M42" s="30">
        <f>IF(L42="","",IF(ABS(L42)&gt;=1.96,"Yes","No"))</f>
        <v/>
      </c>
      <c r="N42" s="30">
        <f>IF(J42="","",IF(J42&gt;=Settings!$B$15,"Yes","No"))</f>
        <v/>
      </c>
      <c r="O42" s="37">
        <f>IFERROR(IF($D42="","",SUMIF('Pre-Test Entry'!$C$3:$AQ$3,Settings!$A$28,'Pre-Test Entry'!$C42:$AQ42)/Settings!$C$28),"")</f>
        <v/>
      </c>
      <c r="P42" s="37">
        <f>IFERROR(IF($D42="","",SUMIF('Pre-Test Entry'!$C$3:$AQ$3,Settings!$A$29,'Pre-Test Entry'!$C42:$AQ42)/Settings!$C$29),"")</f>
        <v/>
      </c>
      <c r="Q42" s="37">
        <f>IFERROR(IF($D42="","",SUMIF('Pre-Test Entry'!$C$3:$AQ$3,Settings!$A$30,'Pre-Test Entry'!$C42:$AQ42)/Settings!$C$30),"")</f>
        <v/>
      </c>
      <c r="R42" s="37">
        <f>IFERROR(IF($D42="","",SUMIF('Pre-Test Entry'!$C$3:$AQ$3,Settings!$A$31,'Pre-Test Entry'!$C42:$AQ42)/Settings!$C$31),"")</f>
        <v/>
      </c>
      <c r="S42" s="37">
        <f>IFERROR(IF($D42="","",SUMIF('Pre-Test Entry'!$C$3:$AQ$3,Settings!$A$32,'Pre-Test Entry'!$C42:$AQ42)/Settings!$C$32),"")</f>
        <v/>
      </c>
      <c r="T42" s="37">
        <f>IFERROR(IF($D42="","",SUMIF('Pre-Test Entry'!$C$3:$AQ$3,Settings!$A$33,'Pre-Test Entry'!$C42:$AQ42)/Settings!$C$33),"")</f>
        <v/>
      </c>
      <c r="U42" s="37">
        <f>IFERROR(IF($D42="","",SUMIF('Pre-Test Entry'!$C$3:$AQ$3,Settings!$A$34,'Pre-Test Entry'!$C42:$AQ42)/Settings!$C$34),"")</f>
        <v/>
      </c>
      <c r="V42" s="37">
        <f>IFERROR(IF($G42="","",SUMIF('Post-Test Entry'!$C$3:$AQ$3,Settings!$A$28,'Post-Test Entry'!$C42:$AQ42)/Settings!$C$28),"")</f>
        <v/>
      </c>
      <c r="W42" s="37">
        <f>IFERROR(IF($G42="","",SUMIF('Post-Test Entry'!$C$3:$AQ$3,Settings!$A$29,'Post-Test Entry'!$C42:$AQ42)/Settings!$C$29),"")</f>
        <v/>
      </c>
      <c r="X42" s="37">
        <f>IFERROR(IF($G42="","",SUMIF('Post-Test Entry'!$C$3:$AQ$3,Settings!$A$30,'Post-Test Entry'!$C42:$AQ42)/Settings!$C$30),"")</f>
        <v/>
      </c>
      <c r="Y42" s="37">
        <f>IFERROR(IF($G42="","",SUMIF('Post-Test Entry'!$C$3:$AQ$3,Settings!$A$31,'Post-Test Entry'!$C42:$AQ42)/Settings!$C$31),"")</f>
        <v/>
      </c>
      <c r="Z42" s="37">
        <f>IFERROR(IF($G42="","",SUMIF('Post-Test Entry'!$C$3:$AQ$3,Settings!$A$32,'Post-Test Entry'!$C42:$AQ42)/Settings!$C$32),"")</f>
        <v/>
      </c>
      <c r="AA42" s="37">
        <f>IFERROR(IF($G42="","",SUMIF('Post-Test Entry'!$C$3:$AQ$3,Settings!$A$33,'Post-Test Entry'!$C42:$AQ42)/Settings!$C$33),"")</f>
        <v/>
      </c>
      <c r="AB42" s="37">
        <f>IFERROR(IF($G42="","",SUMIF('Post-Test Entry'!$C$3:$AQ$3,Settings!$A$34,'Post-Test Entry'!$C42:$AQ42)/Settings!$C$34),"")</f>
        <v/>
      </c>
      <c r="AC42" s="37">
        <f>IF(OR(O42="",V42=""),"",V42-O42)</f>
        <v/>
      </c>
      <c r="AD42" s="37">
        <f>IF(OR(P42="",W42=""),"",W42-P42)</f>
        <v/>
      </c>
      <c r="AE42" s="37">
        <f>IF(OR(Q42="",X42=""),"",X42-Q42)</f>
        <v/>
      </c>
      <c r="AF42" s="37">
        <f>IF(OR(R42="",Y42=""),"",Y42-R42)</f>
        <v/>
      </c>
      <c r="AG42" s="37">
        <f>IF(OR(S42="",Z42=""),"",Z42-S42)</f>
        <v/>
      </c>
      <c r="AH42" s="37">
        <f>IF(OR(T42="",AA42=""),"",AA42-T42)</f>
        <v/>
      </c>
      <c r="AI42" s="37">
        <f>IF(OR(U42="",AB42=""),"",AB42-U42)</f>
        <v/>
      </c>
      <c r="AJ42" s="30">
        <f>IFERROR(IF($G42&lt;&gt;"",INDEX($V$4:$AB$4,MATCH(MIN($V42:$AB42),$V42:$AB42,0)),IF($D42&lt;&gt;"",INDEX($O$4:$U$4,MATCH(MIN($O42:$U42),$O42:$U42,0)),"")),"")</f>
        <v/>
      </c>
      <c r="AK42" s="30">
        <f>IFERROR(IF($G42&lt;&gt;"",INDEX($V$4:$AB$4,MATCH(SMALL($V42:$AB42,2),$V42:$AB42,0)),IF($D42&lt;&gt;"",INDEX($O$4:$U$4,MATCH(SMALL($O42:$U42,2),$O42:$U42,0)),"")),"")</f>
        <v/>
      </c>
      <c r="AL42" s="30">
        <f>IF(OR(G42="",Settings!$B$17=""),"",IF(OR(ABS(G42-Settings!$B$5)&lt;=Settings!$B$17,ABS(G42-Settings!$B$6)&lt;=Settings!$B$17,ABS(G42-Settings!$B$7)&lt;=Settings!$B$17),"NEAR CUT",""))</f>
        <v/>
      </c>
      <c r="AM42" s="31">
        <f>IF('Post-Test Entry'!$AR42&lt;&gt;"","Post essay: code "&amp;'Post-Test Entry'!$AR42,IF('Pre-Test Entry'!$AR42&lt;&gt;"","Pre essay: code "&amp;'Pre-Test Entry'!$AR42,""))</f>
        <v/>
      </c>
      <c r="AN42" s="39">
        <f>IFERROR(IF($AJ42="","",INDEX(Settings!$D$28:$D$34,MATCH($AJ42,Settings!$A$28:$A$34,0))),"")</f>
        <v/>
      </c>
      <c r="AP42">
        <f>IF(D42="","",D42^2)</f>
        <v/>
      </c>
      <c r="AQ42">
        <f>IF(G42="","",G42^2)</f>
        <v/>
      </c>
    </row>
    <row r="43">
      <c r="A43" s="30">
        <f>IF(Roster!$A43="","",Roster!$A43)</f>
        <v/>
      </c>
      <c r="B43" s="31">
        <f>IF(Roster!$B43&lt;&gt;"",Roster!$C43&amp;" "&amp;Roster!$B43,"")</f>
        <v/>
      </c>
      <c r="C43" s="30">
        <f>IF(Roster!$B43&lt;&gt;"",Roster!$D43,"")</f>
        <v/>
      </c>
      <c r="D43" s="16">
        <f>IF(AND(Roster!$B43&lt;&gt;"",COUNT('Pre-Test Entry'!$C43:$AQ43)&gt;0),'Pre-Test Entry'!$AS43,"")</f>
        <v/>
      </c>
      <c r="E43" s="37">
        <f>IFERROR(D43/Settings!$B$8,"")</f>
        <v/>
      </c>
      <c r="F43" s="31">
        <f>IF(D43="","",IF(D43&gt;=Settings!$B$7,"Distinguished Learner",IF(D43&gt;=Settings!$B$6,"Proficient Learner",IF(D43&gt;=Settings!$B$5,"Developing Learner","Beginning Learner"))))</f>
        <v/>
      </c>
      <c r="G43" s="16">
        <f>IF(AND(Roster!$B43&lt;&gt;"",COUNT('Post-Test Entry'!$C43:$AQ43)&gt;0),'Post-Test Entry'!$AS43,"")</f>
        <v/>
      </c>
      <c r="H43" s="37">
        <f>IFERROR(G43/Settings!$B$8,"")</f>
        <v/>
      </c>
      <c r="I43" s="31">
        <f>IF(G43="","",IF(G43&gt;=Settings!$B$7,"Distinguished Learner",IF(G43&gt;=Settings!$B$6,"Proficient Learner",IF(G43&gt;=Settings!$B$5,"Developing Learner","Beginning Learner"))))</f>
        <v/>
      </c>
      <c r="J43" s="16">
        <f>IF(OR(D43="",G43=""),"",G43-D43)</f>
        <v/>
      </c>
      <c r="K43" s="37">
        <f>IFERROR(IF(OR(J43="",J43&lt;=0),"",(G43-D43)/(Settings!$B$8-D43)),"")</f>
        <v/>
      </c>
      <c r="L43" s="38">
        <f>IFERROR(IF(J43="","",(G43-D43)/(Settings!$B$17*SQRT(2))),"")</f>
        <v/>
      </c>
      <c r="M43" s="30">
        <f>IF(L43="","",IF(ABS(L43)&gt;=1.96,"Yes","No"))</f>
        <v/>
      </c>
      <c r="N43" s="30">
        <f>IF(J43="","",IF(J43&gt;=Settings!$B$15,"Yes","No"))</f>
        <v/>
      </c>
      <c r="O43" s="37">
        <f>IFERROR(IF($D43="","",SUMIF('Pre-Test Entry'!$C$3:$AQ$3,Settings!$A$28,'Pre-Test Entry'!$C43:$AQ43)/Settings!$C$28),"")</f>
        <v/>
      </c>
      <c r="P43" s="37">
        <f>IFERROR(IF($D43="","",SUMIF('Pre-Test Entry'!$C$3:$AQ$3,Settings!$A$29,'Pre-Test Entry'!$C43:$AQ43)/Settings!$C$29),"")</f>
        <v/>
      </c>
      <c r="Q43" s="37">
        <f>IFERROR(IF($D43="","",SUMIF('Pre-Test Entry'!$C$3:$AQ$3,Settings!$A$30,'Pre-Test Entry'!$C43:$AQ43)/Settings!$C$30),"")</f>
        <v/>
      </c>
      <c r="R43" s="37">
        <f>IFERROR(IF($D43="","",SUMIF('Pre-Test Entry'!$C$3:$AQ$3,Settings!$A$31,'Pre-Test Entry'!$C43:$AQ43)/Settings!$C$31),"")</f>
        <v/>
      </c>
      <c r="S43" s="37">
        <f>IFERROR(IF($D43="","",SUMIF('Pre-Test Entry'!$C$3:$AQ$3,Settings!$A$32,'Pre-Test Entry'!$C43:$AQ43)/Settings!$C$32),"")</f>
        <v/>
      </c>
      <c r="T43" s="37">
        <f>IFERROR(IF($D43="","",SUMIF('Pre-Test Entry'!$C$3:$AQ$3,Settings!$A$33,'Pre-Test Entry'!$C43:$AQ43)/Settings!$C$33),"")</f>
        <v/>
      </c>
      <c r="U43" s="37">
        <f>IFERROR(IF($D43="","",SUMIF('Pre-Test Entry'!$C$3:$AQ$3,Settings!$A$34,'Pre-Test Entry'!$C43:$AQ43)/Settings!$C$34),"")</f>
        <v/>
      </c>
      <c r="V43" s="37">
        <f>IFERROR(IF($G43="","",SUMIF('Post-Test Entry'!$C$3:$AQ$3,Settings!$A$28,'Post-Test Entry'!$C43:$AQ43)/Settings!$C$28),"")</f>
        <v/>
      </c>
      <c r="W43" s="37">
        <f>IFERROR(IF($G43="","",SUMIF('Post-Test Entry'!$C$3:$AQ$3,Settings!$A$29,'Post-Test Entry'!$C43:$AQ43)/Settings!$C$29),"")</f>
        <v/>
      </c>
      <c r="X43" s="37">
        <f>IFERROR(IF($G43="","",SUMIF('Post-Test Entry'!$C$3:$AQ$3,Settings!$A$30,'Post-Test Entry'!$C43:$AQ43)/Settings!$C$30),"")</f>
        <v/>
      </c>
      <c r="Y43" s="37">
        <f>IFERROR(IF($G43="","",SUMIF('Post-Test Entry'!$C$3:$AQ$3,Settings!$A$31,'Post-Test Entry'!$C43:$AQ43)/Settings!$C$31),"")</f>
        <v/>
      </c>
      <c r="Z43" s="37">
        <f>IFERROR(IF($G43="","",SUMIF('Post-Test Entry'!$C$3:$AQ$3,Settings!$A$32,'Post-Test Entry'!$C43:$AQ43)/Settings!$C$32),"")</f>
        <v/>
      </c>
      <c r="AA43" s="37">
        <f>IFERROR(IF($G43="","",SUMIF('Post-Test Entry'!$C$3:$AQ$3,Settings!$A$33,'Post-Test Entry'!$C43:$AQ43)/Settings!$C$33),"")</f>
        <v/>
      </c>
      <c r="AB43" s="37">
        <f>IFERROR(IF($G43="","",SUMIF('Post-Test Entry'!$C$3:$AQ$3,Settings!$A$34,'Post-Test Entry'!$C43:$AQ43)/Settings!$C$34),"")</f>
        <v/>
      </c>
      <c r="AC43" s="37">
        <f>IF(OR(O43="",V43=""),"",V43-O43)</f>
        <v/>
      </c>
      <c r="AD43" s="37">
        <f>IF(OR(P43="",W43=""),"",W43-P43)</f>
        <v/>
      </c>
      <c r="AE43" s="37">
        <f>IF(OR(Q43="",X43=""),"",X43-Q43)</f>
        <v/>
      </c>
      <c r="AF43" s="37">
        <f>IF(OR(R43="",Y43=""),"",Y43-R43)</f>
        <v/>
      </c>
      <c r="AG43" s="37">
        <f>IF(OR(S43="",Z43=""),"",Z43-S43)</f>
        <v/>
      </c>
      <c r="AH43" s="37">
        <f>IF(OR(T43="",AA43=""),"",AA43-T43)</f>
        <v/>
      </c>
      <c r="AI43" s="37">
        <f>IF(OR(U43="",AB43=""),"",AB43-U43)</f>
        <v/>
      </c>
      <c r="AJ43" s="30">
        <f>IFERROR(IF($G43&lt;&gt;"",INDEX($V$4:$AB$4,MATCH(MIN($V43:$AB43),$V43:$AB43,0)),IF($D43&lt;&gt;"",INDEX($O$4:$U$4,MATCH(MIN($O43:$U43),$O43:$U43,0)),"")),"")</f>
        <v/>
      </c>
      <c r="AK43" s="30">
        <f>IFERROR(IF($G43&lt;&gt;"",INDEX($V$4:$AB$4,MATCH(SMALL($V43:$AB43,2),$V43:$AB43,0)),IF($D43&lt;&gt;"",INDEX($O$4:$U$4,MATCH(SMALL($O43:$U43,2),$O43:$U43,0)),"")),"")</f>
        <v/>
      </c>
      <c r="AL43" s="30">
        <f>IF(OR(G43="",Settings!$B$17=""),"",IF(OR(ABS(G43-Settings!$B$5)&lt;=Settings!$B$17,ABS(G43-Settings!$B$6)&lt;=Settings!$B$17,ABS(G43-Settings!$B$7)&lt;=Settings!$B$17),"NEAR CUT",""))</f>
        <v/>
      </c>
      <c r="AM43" s="31">
        <f>IF('Post-Test Entry'!$AR43&lt;&gt;"","Post essay: code "&amp;'Post-Test Entry'!$AR43,IF('Pre-Test Entry'!$AR43&lt;&gt;"","Pre essay: code "&amp;'Pre-Test Entry'!$AR43,""))</f>
        <v/>
      </c>
      <c r="AN43" s="39">
        <f>IFERROR(IF($AJ43="","",INDEX(Settings!$D$28:$D$34,MATCH($AJ43,Settings!$A$28:$A$34,0))),"")</f>
        <v/>
      </c>
      <c r="AP43">
        <f>IF(D43="","",D43^2)</f>
        <v/>
      </c>
      <c r="AQ43">
        <f>IF(G43="","",G43^2)</f>
        <v/>
      </c>
    </row>
    <row r="44">
      <c r="A44" s="30">
        <f>IF(Roster!$A44="","",Roster!$A44)</f>
        <v/>
      </c>
      <c r="B44" s="31">
        <f>IF(Roster!$B44&lt;&gt;"",Roster!$C44&amp;" "&amp;Roster!$B44,"")</f>
        <v/>
      </c>
      <c r="C44" s="30">
        <f>IF(Roster!$B44&lt;&gt;"",Roster!$D44,"")</f>
        <v/>
      </c>
      <c r="D44" s="16">
        <f>IF(AND(Roster!$B44&lt;&gt;"",COUNT('Pre-Test Entry'!$C44:$AQ44)&gt;0),'Pre-Test Entry'!$AS44,"")</f>
        <v/>
      </c>
      <c r="E44" s="37">
        <f>IFERROR(D44/Settings!$B$8,"")</f>
        <v/>
      </c>
      <c r="F44" s="31">
        <f>IF(D44="","",IF(D44&gt;=Settings!$B$7,"Distinguished Learner",IF(D44&gt;=Settings!$B$6,"Proficient Learner",IF(D44&gt;=Settings!$B$5,"Developing Learner","Beginning Learner"))))</f>
        <v/>
      </c>
      <c r="G44" s="16">
        <f>IF(AND(Roster!$B44&lt;&gt;"",COUNT('Post-Test Entry'!$C44:$AQ44)&gt;0),'Post-Test Entry'!$AS44,"")</f>
        <v/>
      </c>
      <c r="H44" s="37">
        <f>IFERROR(G44/Settings!$B$8,"")</f>
        <v/>
      </c>
      <c r="I44" s="31">
        <f>IF(G44="","",IF(G44&gt;=Settings!$B$7,"Distinguished Learner",IF(G44&gt;=Settings!$B$6,"Proficient Learner",IF(G44&gt;=Settings!$B$5,"Developing Learner","Beginning Learner"))))</f>
        <v/>
      </c>
      <c r="J44" s="16">
        <f>IF(OR(D44="",G44=""),"",G44-D44)</f>
        <v/>
      </c>
      <c r="K44" s="37">
        <f>IFERROR(IF(OR(J44="",J44&lt;=0),"",(G44-D44)/(Settings!$B$8-D44)),"")</f>
        <v/>
      </c>
      <c r="L44" s="38">
        <f>IFERROR(IF(J44="","",(G44-D44)/(Settings!$B$17*SQRT(2))),"")</f>
        <v/>
      </c>
      <c r="M44" s="30">
        <f>IF(L44="","",IF(ABS(L44)&gt;=1.96,"Yes","No"))</f>
        <v/>
      </c>
      <c r="N44" s="30">
        <f>IF(J44="","",IF(J44&gt;=Settings!$B$15,"Yes","No"))</f>
        <v/>
      </c>
      <c r="O44" s="37">
        <f>IFERROR(IF($D44="","",SUMIF('Pre-Test Entry'!$C$3:$AQ$3,Settings!$A$28,'Pre-Test Entry'!$C44:$AQ44)/Settings!$C$28),"")</f>
        <v/>
      </c>
      <c r="P44" s="37">
        <f>IFERROR(IF($D44="","",SUMIF('Pre-Test Entry'!$C$3:$AQ$3,Settings!$A$29,'Pre-Test Entry'!$C44:$AQ44)/Settings!$C$29),"")</f>
        <v/>
      </c>
      <c r="Q44" s="37">
        <f>IFERROR(IF($D44="","",SUMIF('Pre-Test Entry'!$C$3:$AQ$3,Settings!$A$30,'Pre-Test Entry'!$C44:$AQ44)/Settings!$C$30),"")</f>
        <v/>
      </c>
      <c r="R44" s="37">
        <f>IFERROR(IF($D44="","",SUMIF('Pre-Test Entry'!$C$3:$AQ$3,Settings!$A$31,'Pre-Test Entry'!$C44:$AQ44)/Settings!$C$31),"")</f>
        <v/>
      </c>
      <c r="S44" s="37">
        <f>IFERROR(IF($D44="","",SUMIF('Pre-Test Entry'!$C$3:$AQ$3,Settings!$A$32,'Pre-Test Entry'!$C44:$AQ44)/Settings!$C$32),"")</f>
        <v/>
      </c>
      <c r="T44" s="37">
        <f>IFERROR(IF($D44="","",SUMIF('Pre-Test Entry'!$C$3:$AQ$3,Settings!$A$33,'Pre-Test Entry'!$C44:$AQ44)/Settings!$C$33),"")</f>
        <v/>
      </c>
      <c r="U44" s="37">
        <f>IFERROR(IF($D44="","",SUMIF('Pre-Test Entry'!$C$3:$AQ$3,Settings!$A$34,'Pre-Test Entry'!$C44:$AQ44)/Settings!$C$34),"")</f>
        <v/>
      </c>
      <c r="V44" s="37">
        <f>IFERROR(IF($G44="","",SUMIF('Post-Test Entry'!$C$3:$AQ$3,Settings!$A$28,'Post-Test Entry'!$C44:$AQ44)/Settings!$C$28),"")</f>
        <v/>
      </c>
      <c r="W44" s="37">
        <f>IFERROR(IF($G44="","",SUMIF('Post-Test Entry'!$C$3:$AQ$3,Settings!$A$29,'Post-Test Entry'!$C44:$AQ44)/Settings!$C$29),"")</f>
        <v/>
      </c>
      <c r="X44" s="37">
        <f>IFERROR(IF($G44="","",SUMIF('Post-Test Entry'!$C$3:$AQ$3,Settings!$A$30,'Post-Test Entry'!$C44:$AQ44)/Settings!$C$30),"")</f>
        <v/>
      </c>
      <c r="Y44" s="37">
        <f>IFERROR(IF($G44="","",SUMIF('Post-Test Entry'!$C$3:$AQ$3,Settings!$A$31,'Post-Test Entry'!$C44:$AQ44)/Settings!$C$31),"")</f>
        <v/>
      </c>
      <c r="Z44" s="37">
        <f>IFERROR(IF($G44="","",SUMIF('Post-Test Entry'!$C$3:$AQ$3,Settings!$A$32,'Post-Test Entry'!$C44:$AQ44)/Settings!$C$32),"")</f>
        <v/>
      </c>
      <c r="AA44" s="37">
        <f>IFERROR(IF($G44="","",SUMIF('Post-Test Entry'!$C$3:$AQ$3,Settings!$A$33,'Post-Test Entry'!$C44:$AQ44)/Settings!$C$33),"")</f>
        <v/>
      </c>
      <c r="AB44" s="37">
        <f>IFERROR(IF($G44="","",SUMIF('Post-Test Entry'!$C$3:$AQ$3,Settings!$A$34,'Post-Test Entry'!$C44:$AQ44)/Settings!$C$34),"")</f>
        <v/>
      </c>
      <c r="AC44" s="37">
        <f>IF(OR(O44="",V44=""),"",V44-O44)</f>
        <v/>
      </c>
      <c r="AD44" s="37">
        <f>IF(OR(P44="",W44=""),"",W44-P44)</f>
        <v/>
      </c>
      <c r="AE44" s="37">
        <f>IF(OR(Q44="",X44=""),"",X44-Q44)</f>
        <v/>
      </c>
      <c r="AF44" s="37">
        <f>IF(OR(R44="",Y44=""),"",Y44-R44)</f>
        <v/>
      </c>
      <c r="AG44" s="37">
        <f>IF(OR(S44="",Z44=""),"",Z44-S44)</f>
        <v/>
      </c>
      <c r="AH44" s="37">
        <f>IF(OR(T44="",AA44=""),"",AA44-T44)</f>
        <v/>
      </c>
      <c r="AI44" s="37">
        <f>IF(OR(U44="",AB44=""),"",AB44-U44)</f>
        <v/>
      </c>
      <c r="AJ44" s="30">
        <f>IFERROR(IF($G44&lt;&gt;"",INDEX($V$4:$AB$4,MATCH(MIN($V44:$AB44),$V44:$AB44,0)),IF($D44&lt;&gt;"",INDEX($O$4:$U$4,MATCH(MIN($O44:$U44),$O44:$U44,0)),"")),"")</f>
        <v/>
      </c>
      <c r="AK44" s="30">
        <f>IFERROR(IF($G44&lt;&gt;"",INDEX($V$4:$AB$4,MATCH(SMALL($V44:$AB44,2),$V44:$AB44,0)),IF($D44&lt;&gt;"",INDEX($O$4:$U$4,MATCH(SMALL($O44:$U44,2),$O44:$U44,0)),"")),"")</f>
        <v/>
      </c>
      <c r="AL44" s="30">
        <f>IF(OR(G44="",Settings!$B$17=""),"",IF(OR(ABS(G44-Settings!$B$5)&lt;=Settings!$B$17,ABS(G44-Settings!$B$6)&lt;=Settings!$B$17,ABS(G44-Settings!$B$7)&lt;=Settings!$B$17),"NEAR CUT",""))</f>
        <v/>
      </c>
      <c r="AM44" s="31">
        <f>IF('Post-Test Entry'!$AR44&lt;&gt;"","Post essay: code "&amp;'Post-Test Entry'!$AR44,IF('Pre-Test Entry'!$AR44&lt;&gt;"","Pre essay: code "&amp;'Pre-Test Entry'!$AR44,""))</f>
        <v/>
      </c>
      <c r="AN44" s="39">
        <f>IFERROR(IF($AJ44="","",INDEX(Settings!$D$28:$D$34,MATCH($AJ44,Settings!$A$28:$A$34,0))),"")</f>
        <v/>
      </c>
      <c r="AP44">
        <f>IF(D44="","",D44^2)</f>
        <v/>
      </c>
      <c r="AQ44">
        <f>IF(G44="","",G44^2)</f>
        <v/>
      </c>
    </row>
    <row r="45">
      <c r="A45" s="30">
        <f>IF(Roster!$A45="","",Roster!$A45)</f>
        <v/>
      </c>
      <c r="B45" s="31">
        <f>IF(Roster!$B45&lt;&gt;"",Roster!$C45&amp;" "&amp;Roster!$B45,"")</f>
        <v/>
      </c>
      <c r="C45" s="30">
        <f>IF(Roster!$B45&lt;&gt;"",Roster!$D45,"")</f>
        <v/>
      </c>
      <c r="D45" s="16">
        <f>IF(AND(Roster!$B45&lt;&gt;"",COUNT('Pre-Test Entry'!$C45:$AQ45)&gt;0),'Pre-Test Entry'!$AS45,"")</f>
        <v/>
      </c>
      <c r="E45" s="37">
        <f>IFERROR(D45/Settings!$B$8,"")</f>
        <v/>
      </c>
      <c r="F45" s="31">
        <f>IF(D45="","",IF(D45&gt;=Settings!$B$7,"Distinguished Learner",IF(D45&gt;=Settings!$B$6,"Proficient Learner",IF(D45&gt;=Settings!$B$5,"Developing Learner","Beginning Learner"))))</f>
        <v/>
      </c>
      <c r="G45" s="16">
        <f>IF(AND(Roster!$B45&lt;&gt;"",COUNT('Post-Test Entry'!$C45:$AQ45)&gt;0),'Post-Test Entry'!$AS45,"")</f>
        <v/>
      </c>
      <c r="H45" s="37">
        <f>IFERROR(G45/Settings!$B$8,"")</f>
        <v/>
      </c>
      <c r="I45" s="31">
        <f>IF(G45="","",IF(G45&gt;=Settings!$B$7,"Distinguished Learner",IF(G45&gt;=Settings!$B$6,"Proficient Learner",IF(G45&gt;=Settings!$B$5,"Developing Learner","Beginning Learner"))))</f>
        <v/>
      </c>
      <c r="J45" s="16">
        <f>IF(OR(D45="",G45=""),"",G45-D45)</f>
        <v/>
      </c>
      <c r="K45" s="37">
        <f>IFERROR(IF(OR(J45="",J45&lt;=0),"",(G45-D45)/(Settings!$B$8-D45)),"")</f>
        <v/>
      </c>
      <c r="L45" s="38">
        <f>IFERROR(IF(J45="","",(G45-D45)/(Settings!$B$17*SQRT(2))),"")</f>
        <v/>
      </c>
      <c r="M45" s="30">
        <f>IF(L45="","",IF(ABS(L45)&gt;=1.96,"Yes","No"))</f>
        <v/>
      </c>
      <c r="N45" s="30">
        <f>IF(J45="","",IF(J45&gt;=Settings!$B$15,"Yes","No"))</f>
        <v/>
      </c>
      <c r="O45" s="37">
        <f>IFERROR(IF($D45="","",SUMIF('Pre-Test Entry'!$C$3:$AQ$3,Settings!$A$28,'Pre-Test Entry'!$C45:$AQ45)/Settings!$C$28),"")</f>
        <v/>
      </c>
      <c r="P45" s="37">
        <f>IFERROR(IF($D45="","",SUMIF('Pre-Test Entry'!$C$3:$AQ$3,Settings!$A$29,'Pre-Test Entry'!$C45:$AQ45)/Settings!$C$29),"")</f>
        <v/>
      </c>
      <c r="Q45" s="37">
        <f>IFERROR(IF($D45="","",SUMIF('Pre-Test Entry'!$C$3:$AQ$3,Settings!$A$30,'Pre-Test Entry'!$C45:$AQ45)/Settings!$C$30),"")</f>
        <v/>
      </c>
      <c r="R45" s="37">
        <f>IFERROR(IF($D45="","",SUMIF('Pre-Test Entry'!$C$3:$AQ$3,Settings!$A$31,'Pre-Test Entry'!$C45:$AQ45)/Settings!$C$31),"")</f>
        <v/>
      </c>
      <c r="S45" s="37">
        <f>IFERROR(IF($D45="","",SUMIF('Pre-Test Entry'!$C$3:$AQ$3,Settings!$A$32,'Pre-Test Entry'!$C45:$AQ45)/Settings!$C$32),"")</f>
        <v/>
      </c>
      <c r="T45" s="37">
        <f>IFERROR(IF($D45="","",SUMIF('Pre-Test Entry'!$C$3:$AQ$3,Settings!$A$33,'Pre-Test Entry'!$C45:$AQ45)/Settings!$C$33),"")</f>
        <v/>
      </c>
      <c r="U45" s="37">
        <f>IFERROR(IF($D45="","",SUMIF('Pre-Test Entry'!$C$3:$AQ$3,Settings!$A$34,'Pre-Test Entry'!$C45:$AQ45)/Settings!$C$34),"")</f>
        <v/>
      </c>
      <c r="V45" s="37">
        <f>IFERROR(IF($G45="","",SUMIF('Post-Test Entry'!$C$3:$AQ$3,Settings!$A$28,'Post-Test Entry'!$C45:$AQ45)/Settings!$C$28),"")</f>
        <v/>
      </c>
      <c r="W45" s="37">
        <f>IFERROR(IF($G45="","",SUMIF('Post-Test Entry'!$C$3:$AQ$3,Settings!$A$29,'Post-Test Entry'!$C45:$AQ45)/Settings!$C$29),"")</f>
        <v/>
      </c>
      <c r="X45" s="37">
        <f>IFERROR(IF($G45="","",SUMIF('Post-Test Entry'!$C$3:$AQ$3,Settings!$A$30,'Post-Test Entry'!$C45:$AQ45)/Settings!$C$30),"")</f>
        <v/>
      </c>
      <c r="Y45" s="37">
        <f>IFERROR(IF($G45="","",SUMIF('Post-Test Entry'!$C$3:$AQ$3,Settings!$A$31,'Post-Test Entry'!$C45:$AQ45)/Settings!$C$31),"")</f>
        <v/>
      </c>
      <c r="Z45" s="37">
        <f>IFERROR(IF($G45="","",SUMIF('Post-Test Entry'!$C$3:$AQ$3,Settings!$A$32,'Post-Test Entry'!$C45:$AQ45)/Settings!$C$32),"")</f>
        <v/>
      </c>
      <c r="AA45" s="37">
        <f>IFERROR(IF($G45="","",SUMIF('Post-Test Entry'!$C$3:$AQ$3,Settings!$A$33,'Post-Test Entry'!$C45:$AQ45)/Settings!$C$33),"")</f>
        <v/>
      </c>
      <c r="AB45" s="37">
        <f>IFERROR(IF($G45="","",SUMIF('Post-Test Entry'!$C$3:$AQ$3,Settings!$A$34,'Post-Test Entry'!$C45:$AQ45)/Settings!$C$34),"")</f>
        <v/>
      </c>
      <c r="AC45" s="37">
        <f>IF(OR(O45="",V45=""),"",V45-O45)</f>
        <v/>
      </c>
      <c r="AD45" s="37">
        <f>IF(OR(P45="",W45=""),"",W45-P45)</f>
        <v/>
      </c>
      <c r="AE45" s="37">
        <f>IF(OR(Q45="",X45=""),"",X45-Q45)</f>
        <v/>
      </c>
      <c r="AF45" s="37">
        <f>IF(OR(R45="",Y45=""),"",Y45-R45)</f>
        <v/>
      </c>
      <c r="AG45" s="37">
        <f>IF(OR(S45="",Z45=""),"",Z45-S45)</f>
        <v/>
      </c>
      <c r="AH45" s="37">
        <f>IF(OR(T45="",AA45=""),"",AA45-T45)</f>
        <v/>
      </c>
      <c r="AI45" s="37">
        <f>IF(OR(U45="",AB45=""),"",AB45-U45)</f>
        <v/>
      </c>
      <c r="AJ45" s="30">
        <f>IFERROR(IF($G45&lt;&gt;"",INDEX($V$4:$AB$4,MATCH(MIN($V45:$AB45),$V45:$AB45,0)),IF($D45&lt;&gt;"",INDEX($O$4:$U$4,MATCH(MIN($O45:$U45),$O45:$U45,0)),"")),"")</f>
        <v/>
      </c>
      <c r="AK45" s="30">
        <f>IFERROR(IF($G45&lt;&gt;"",INDEX($V$4:$AB$4,MATCH(SMALL($V45:$AB45,2),$V45:$AB45,0)),IF($D45&lt;&gt;"",INDEX($O$4:$U$4,MATCH(SMALL($O45:$U45,2),$O45:$U45,0)),"")),"")</f>
        <v/>
      </c>
      <c r="AL45" s="30">
        <f>IF(OR(G45="",Settings!$B$17=""),"",IF(OR(ABS(G45-Settings!$B$5)&lt;=Settings!$B$17,ABS(G45-Settings!$B$6)&lt;=Settings!$B$17,ABS(G45-Settings!$B$7)&lt;=Settings!$B$17),"NEAR CUT",""))</f>
        <v/>
      </c>
      <c r="AM45" s="31">
        <f>IF('Post-Test Entry'!$AR45&lt;&gt;"","Post essay: code "&amp;'Post-Test Entry'!$AR45,IF('Pre-Test Entry'!$AR45&lt;&gt;"","Pre essay: code "&amp;'Pre-Test Entry'!$AR45,""))</f>
        <v/>
      </c>
      <c r="AN45" s="39">
        <f>IFERROR(IF($AJ45="","",INDEX(Settings!$D$28:$D$34,MATCH($AJ45,Settings!$A$28:$A$34,0))),"")</f>
        <v/>
      </c>
      <c r="AP45">
        <f>IF(D45="","",D45^2)</f>
        <v/>
      </c>
      <c r="AQ45">
        <f>IF(G45="","",G45^2)</f>
        <v/>
      </c>
    </row>
    <row r="46">
      <c r="A46" s="30">
        <f>IF(Roster!$A46="","",Roster!$A46)</f>
        <v/>
      </c>
      <c r="B46" s="31">
        <f>IF(Roster!$B46&lt;&gt;"",Roster!$C46&amp;" "&amp;Roster!$B46,"")</f>
        <v/>
      </c>
      <c r="C46" s="30">
        <f>IF(Roster!$B46&lt;&gt;"",Roster!$D46,"")</f>
        <v/>
      </c>
      <c r="D46" s="16">
        <f>IF(AND(Roster!$B46&lt;&gt;"",COUNT('Pre-Test Entry'!$C46:$AQ46)&gt;0),'Pre-Test Entry'!$AS46,"")</f>
        <v/>
      </c>
      <c r="E46" s="37">
        <f>IFERROR(D46/Settings!$B$8,"")</f>
        <v/>
      </c>
      <c r="F46" s="31">
        <f>IF(D46="","",IF(D46&gt;=Settings!$B$7,"Distinguished Learner",IF(D46&gt;=Settings!$B$6,"Proficient Learner",IF(D46&gt;=Settings!$B$5,"Developing Learner","Beginning Learner"))))</f>
        <v/>
      </c>
      <c r="G46" s="16">
        <f>IF(AND(Roster!$B46&lt;&gt;"",COUNT('Post-Test Entry'!$C46:$AQ46)&gt;0),'Post-Test Entry'!$AS46,"")</f>
        <v/>
      </c>
      <c r="H46" s="37">
        <f>IFERROR(G46/Settings!$B$8,"")</f>
        <v/>
      </c>
      <c r="I46" s="31">
        <f>IF(G46="","",IF(G46&gt;=Settings!$B$7,"Distinguished Learner",IF(G46&gt;=Settings!$B$6,"Proficient Learner",IF(G46&gt;=Settings!$B$5,"Developing Learner","Beginning Learner"))))</f>
        <v/>
      </c>
      <c r="J46" s="16">
        <f>IF(OR(D46="",G46=""),"",G46-D46)</f>
        <v/>
      </c>
      <c r="K46" s="37">
        <f>IFERROR(IF(OR(J46="",J46&lt;=0),"",(G46-D46)/(Settings!$B$8-D46)),"")</f>
        <v/>
      </c>
      <c r="L46" s="38">
        <f>IFERROR(IF(J46="","",(G46-D46)/(Settings!$B$17*SQRT(2))),"")</f>
        <v/>
      </c>
      <c r="M46" s="30">
        <f>IF(L46="","",IF(ABS(L46)&gt;=1.96,"Yes","No"))</f>
        <v/>
      </c>
      <c r="N46" s="30">
        <f>IF(J46="","",IF(J46&gt;=Settings!$B$15,"Yes","No"))</f>
        <v/>
      </c>
      <c r="O46" s="37">
        <f>IFERROR(IF($D46="","",SUMIF('Pre-Test Entry'!$C$3:$AQ$3,Settings!$A$28,'Pre-Test Entry'!$C46:$AQ46)/Settings!$C$28),"")</f>
        <v/>
      </c>
      <c r="P46" s="37">
        <f>IFERROR(IF($D46="","",SUMIF('Pre-Test Entry'!$C$3:$AQ$3,Settings!$A$29,'Pre-Test Entry'!$C46:$AQ46)/Settings!$C$29),"")</f>
        <v/>
      </c>
      <c r="Q46" s="37">
        <f>IFERROR(IF($D46="","",SUMIF('Pre-Test Entry'!$C$3:$AQ$3,Settings!$A$30,'Pre-Test Entry'!$C46:$AQ46)/Settings!$C$30),"")</f>
        <v/>
      </c>
      <c r="R46" s="37">
        <f>IFERROR(IF($D46="","",SUMIF('Pre-Test Entry'!$C$3:$AQ$3,Settings!$A$31,'Pre-Test Entry'!$C46:$AQ46)/Settings!$C$31),"")</f>
        <v/>
      </c>
      <c r="S46" s="37">
        <f>IFERROR(IF($D46="","",SUMIF('Pre-Test Entry'!$C$3:$AQ$3,Settings!$A$32,'Pre-Test Entry'!$C46:$AQ46)/Settings!$C$32),"")</f>
        <v/>
      </c>
      <c r="T46" s="37">
        <f>IFERROR(IF($D46="","",SUMIF('Pre-Test Entry'!$C$3:$AQ$3,Settings!$A$33,'Pre-Test Entry'!$C46:$AQ46)/Settings!$C$33),"")</f>
        <v/>
      </c>
      <c r="U46" s="37">
        <f>IFERROR(IF($D46="","",SUMIF('Pre-Test Entry'!$C$3:$AQ$3,Settings!$A$34,'Pre-Test Entry'!$C46:$AQ46)/Settings!$C$34),"")</f>
        <v/>
      </c>
      <c r="V46" s="37">
        <f>IFERROR(IF($G46="","",SUMIF('Post-Test Entry'!$C$3:$AQ$3,Settings!$A$28,'Post-Test Entry'!$C46:$AQ46)/Settings!$C$28),"")</f>
        <v/>
      </c>
      <c r="W46" s="37">
        <f>IFERROR(IF($G46="","",SUMIF('Post-Test Entry'!$C$3:$AQ$3,Settings!$A$29,'Post-Test Entry'!$C46:$AQ46)/Settings!$C$29),"")</f>
        <v/>
      </c>
      <c r="X46" s="37">
        <f>IFERROR(IF($G46="","",SUMIF('Post-Test Entry'!$C$3:$AQ$3,Settings!$A$30,'Post-Test Entry'!$C46:$AQ46)/Settings!$C$30),"")</f>
        <v/>
      </c>
      <c r="Y46" s="37">
        <f>IFERROR(IF($G46="","",SUMIF('Post-Test Entry'!$C$3:$AQ$3,Settings!$A$31,'Post-Test Entry'!$C46:$AQ46)/Settings!$C$31),"")</f>
        <v/>
      </c>
      <c r="Z46" s="37">
        <f>IFERROR(IF($G46="","",SUMIF('Post-Test Entry'!$C$3:$AQ$3,Settings!$A$32,'Post-Test Entry'!$C46:$AQ46)/Settings!$C$32),"")</f>
        <v/>
      </c>
      <c r="AA46" s="37">
        <f>IFERROR(IF($G46="","",SUMIF('Post-Test Entry'!$C$3:$AQ$3,Settings!$A$33,'Post-Test Entry'!$C46:$AQ46)/Settings!$C$33),"")</f>
        <v/>
      </c>
      <c r="AB46" s="37">
        <f>IFERROR(IF($G46="","",SUMIF('Post-Test Entry'!$C$3:$AQ$3,Settings!$A$34,'Post-Test Entry'!$C46:$AQ46)/Settings!$C$34),"")</f>
        <v/>
      </c>
      <c r="AC46" s="37">
        <f>IF(OR(O46="",V46=""),"",V46-O46)</f>
        <v/>
      </c>
      <c r="AD46" s="37">
        <f>IF(OR(P46="",W46=""),"",W46-P46)</f>
        <v/>
      </c>
      <c r="AE46" s="37">
        <f>IF(OR(Q46="",X46=""),"",X46-Q46)</f>
        <v/>
      </c>
      <c r="AF46" s="37">
        <f>IF(OR(R46="",Y46=""),"",Y46-R46)</f>
        <v/>
      </c>
      <c r="AG46" s="37">
        <f>IF(OR(S46="",Z46=""),"",Z46-S46)</f>
        <v/>
      </c>
      <c r="AH46" s="37">
        <f>IF(OR(T46="",AA46=""),"",AA46-T46)</f>
        <v/>
      </c>
      <c r="AI46" s="37">
        <f>IF(OR(U46="",AB46=""),"",AB46-U46)</f>
        <v/>
      </c>
      <c r="AJ46" s="30">
        <f>IFERROR(IF($G46&lt;&gt;"",INDEX($V$4:$AB$4,MATCH(MIN($V46:$AB46),$V46:$AB46,0)),IF($D46&lt;&gt;"",INDEX($O$4:$U$4,MATCH(MIN($O46:$U46),$O46:$U46,0)),"")),"")</f>
        <v/>
      </c>
      <c r="AK46" s="30">
        <f>IFERROR(IF($G46&lt;&gt;"",INDEX($V$4:$AB$4,MATCH(SMALL($V46:$AB46,2),$V46:$AB46,0)),IF($D46&lt;&gt;"",INDEX($O$4:$U$4,MATCH(SMALL($O46:$U46,2),$O46:$U46,0)),"")),"")</f>
        <v/>
      </c>
      <c r="AL46" s="30">
        <f>IF(OR(G46="",Settings!$B$17=""),"",IF(OR(ABS(G46-Settings!$B$5)&lt;=Settings!$B$17,ABS(G46-Settings!$B$6)&lt;=Settings!$B$17,ABS(G46-Settings!$B$7)&lt;=Settings!$B$17),"NEAR CUT",""))</f>
        <v/>
      </c>
      <c r="AM46" s="31">
        <f>IF('Post-Test Entry'!$AR46&lt;&gt;"","Post essay: code "&amp;'Post-Test Entry'!$AR46,IF('Pre-Test Entry'!$AR46&lt;&gt;"","Pre essay: code "&amp;'Pre-Test Entry'!$AR46,""))</f>
        <v/>
      </c>
      <c r="AN46" s="39">
        <f>IFERROR(IF($AJ46="","",INDEX(Settings!$D$28:$D$34,MATCH($AJ46,Settings!$A$28:$A$34,0))),"")</f>
        <v/>
      </c>
      <c r="AP46">
        <f>IF(D46="","",D46^2)</f>
        <v/>
      </c>
      <c r="AQ46">
        <f>IF(G46="","",G46^2)</f>
        <v/>
      </c>
    </row>
    <row r="47">
      <c r="A47" s="30">
        <f>IF(Roster!$A47="","",Roster!$A47)</f>
        <v/>
      </c>
      <c r="B47" s="31">
        <f>IF(Roster!$B47&lt;&gt;"",Roster!$C47&amp;" "&amp;Roster!$B47,"")</f>
        <v/>
      </c>
      <c r="C47" s="30">
        <f>IF(Roster!$B47&lt;&gt;"",Roster!$D47,"")</f>
        <v/>
      </c>
      <c r="D47" s="16">
        <f>IF(AND(Roster!$B47&lt;&gt;"",COUNT('Pre-Test Entry'!$C47:$AQ47)&gt;0),'Pre-Test Entry'!$AS47,"")</f>
        <v/>
      </c>
      <c r="E47" s="37">
        <f>IFERROR(D47/Settings!$B$8,"")</f>
        <v/>
      </c>
      <c r="F47" s="31">
        <f>IF(D47="","",IF(D47&gt;=Settings!$B$7,"Distinguished Learner",IF(D47&gt;=Settings!$B$6,"Proficient Learner",IF(D47&gt;=Settings!$B$5,"Developing Learner","Beginning Learner"))))</f>
        <v/>
      </c>
      <c r="G47" s="16">
        <f>IF(AND(Roster!$B47&lt;&gt;"",COUNT('Post-Test Entry'!$C47:$AQ47)&gt;0),'Post-Test Entry'!$AS47,"")</f>
        <v/>
      </c>
      <c r="H47" s="37">
        <f>IFERROR(G47/Settings!$B$8,"")</f>
        <v/>
      </c>
      <c r="I47" s="31">
        <f>IF(G47="","",IF(G47&gt;=Settings!$B$7,"Distinguished Learner",IF(G47&gt;=Settings!$B$6,"Proficient Learner",IF(G47&gt;=Settings!$B$5,"Developing Learner","Beginning Learner"))))</f>
        <v/>
      </c>
      <c r="J47" s="16">
        <f>IF(OR(D47="",G47=""),"",G47-D47)</f>
        <v/>
      </c>
      <c r="K47" s="37">
        <f>IFERROR(IF(OR(J47="",J47&lt;=0),"",(G47-D47)/(Settings!$B$8-D47)),"")</f>
        <v/>
      </c>
      <c r="L47" s="38">
        <f>IFERROR(IF(J47="","",(G47-D47)/(Settings!$B$17*SQRT(2))),"")</f>
        <v/>
      </c>
      <c r="M47" s="30">
        <f>IF(L47="","",IF(ABS(L47)&gt;=1.96,"Yes","No"))</f>
        <v/>
      </c>
      <c r="N47" s="30">
        <f>IF(J47="","",IF(J47&gt;=Settings!$B$15,"Yes","No"))</f>
        <v/>
      </c>
      <c r="O47" s="37">
        <f>IFERROR(IF($D47="","",SUMIF('Pre-Test Entry'!$C$3:$AQ$3,Settings!$A$28,'Pre-Test Entry'!$C47:$AQ47)/Settings!$C$28),"")</f>
        <v/>
      </c>
      <c r="P47" s="37">
        <f>IFERROR(IF($D47="","",SUMIF('Pre-Test Entry'!$C$3:$AQ$3,Settings!$A$29,'Pre-Test Entry'!$C47:$AQ47)/Settings!$C$29),"")</f>
        <v/>
      </c>
      <c r="Q47" s="37">
        <f>IFERROR(IF($D47="","",SUMIF('Pre-Test Entry'!$C$3:$AQ$3,Settings!$A$30,'Pre-Test Entry'!$C47:$AQ47)/Settings!$C$30),"")</f>
        <v/>
      </c>
      <c r="R47" s="37">
        <f>IFERROR(IF($D47="","",SUMIF('Pre-Test Entry'!$C$3:$AQ$3,Settings!$A$31,'Pre-Test Entry'!$C47:$AQ47)/Settings!$C$31),"")</f>
        <v/>
      </c>
      <c r="S47" s="37">
        <f>IFERROR(IF($D47="","",SUMIF('Pre-Test Entry'!$C$3:$AQ$3,Settings!$A$32,'Pre-Test Entry'!$C47:$AQ47)/Settings!$C$32),"")</f>
        <v/>
      </c>
      <c r="T47" s="37">
        <f>IFERROR(IF($D47="","",SUMIF('Pre-Test Entry'!$C$3:$AQ$3,Settings!$A$33,'Pre-Test Entry'!$C47:$AQ47)/Settings!$C$33),"")</f>
        <v/>
      </c>
      <c r="U47" s="37">
        <f>IFERROR(IF($D47="","",SUMIF('Pre-Test Entry'!$C$3:$AQ$3,Settings!$A$34,'Pre-Test Entry'!$C47:$AQ47)/Settings!$C$34),"")</f>
        <v/>
      </c>
      <c r="V47" s="37">
        <f>IFERROR(IF($G47="","",SUMIF('Post-Test Entry'!$C$3:$AQ$3,Settings!$A$28,'Post-Test Entry'!$C47:$AQ47)/Settings!$C$28),"")</f>
        <v/>
      </c>
      <c r="W47" s="37">
        <f>IFERROR(IF($G47="","",SUMIF('Post-Test Entry'!$C$3:$AQ$3,Settings!$A$29,'Post-Test Entry'!$C47:$AQ47)/Settings!$C$29),"")</f>
        <v/>
      </c>
      <c r="X47" s="37">
        <f>IFERROR(IF($G47="","",SUMIF('Post-Test Entry'!$C$3:$AQ$3,Settings!$A$30,'Post-Test Entry'!$C47:$AQ47)/Settings!$C$30),"")</f>
        <v/>
      </c>
      <c r="Y47" s="37">
        <f>IFERROR(IF($G47="","",SUMIF('Post-Test Entry'!$C$3:$AQ$3,Settings!$A$31,'Post-Test Entry'!$C47:$AQ47)/Settings!$C$31),"")</f>
        <v/>
      </c>
      <c r="Z47" s="37">
        <f>IFERROR(IF($G47="","",SUMIF('Post-Test Entry'!$C$3:$AQ$3,Settings!$A$32,'Post-Test Entry'!$C47:$AQ47)/Settings!$C$32),"")</f>
        <v/>
      </c>
      <c r="AA47" s="37">
        <f>IFERROR(IF($G47="","",SUMIF('Post-Test Entry'!$C$3:$AQ$3,Settings!$A$33,'Post-Test Entry'!$C47:$AQ47)/Settings!$C$33),"")</f>
        <v/>
      </c>
      <c r="AB47" s="37">
        <f>IFERROR(IF($G47="","",SUMIF('Post-Test Entry'!$C$3:$AQ$3,Settings!$A$34,'Post-Test Entry'!$C47:$AQ47)/Settings!$C$34),"")</f>
        <v/>
      </c>
      <c r="AC47" s="37">
        <f>IF(OR(O47="",V47=""),"",V47-O47)</f>
        <v/>
      </c>
      <c r="AD47" s="37">
        <f>IF(OR(P47="",W47=""),"",W47-P47)</f>
        <v/>
      </c>
      <c r="AE47" s="37">
        <f>IF(OR(Q47="",X47=""),"",X47-Q47)</f>
        <v/>
      </c>
      <c r="AF47" s="37">
        <f>IF(OR(R47="",Y47=""),"",Y47-R47)</f>
        <v/>
      </c>
      <c r="AG47" s="37">
        <f>IF(OR(S47="",Z47=""),"",Z47-S47)</f>
        <v/>
      </c>
      <c r="AH47" s="37">
        <f>IF(OR(T47="",AA47=""),"",AA47-T47)</f>
        <v/>
      </c>
      <c r="AI47" s="37">
        <f>IF(OR(U47="",AB47=""),"",AB47-U47)</f>
        <v/>
      </c>
      <c r="AJ47" s="30">
        <f>IFERROR(IF($G47&lt;&gt;"",INDEX($V$4:$AB$4,MATCH(MIN($V47:$AB47),$V47:$AB47,0)),IF($D47&lt;&gt;"",INDEX($O$4:$U$4,MATCH(MIN($O47:$U47),$O47:$U47,0)),"")),"")</f>
        <v/>
      </c>
      <c r="AK47" s="30">
        <f>IFERROR(IF($G47&lt;&gt;"",INDEX($V$4:$AB$4,MATCH(SMALL($V47:$AB47,2),$V47:$AB47,0)),IF($D47&lt;&gt;"",INDEX($O$4:$U$4,MATCH(SMALL($O47:$U47,2),$O47:$U47,0)),"")),"")</f>
        <v/>
      </c>
      <c r="AL47" s="30">
        <f>IF(OR(G47="",Settings!$B$17=""),"",IF(OR(ABS(G47-Settings!$B$5)&lt;=Settings!$B$17,ABS(G47-Settings!$B$6)&lt;=Settings!$B$17,ABS(G47-Settings!$B$7)&lt;=Settings!$B$17),"NEAR CUT",""))</f>
        <v/>
      </c>
      <c r="AM47" s="31">
        <f>IF('Post-Test Entry'!$AR47&lt;&gt;"","Post essay: code "&amp;'Post-Test Entry'!$AR47,IF('Pre-Test Entry'!$AR47&lt;&gt;"","Pre essay: code "&amp;'Pre-Test Entry'!$AR47,""))</f>
        <v/>
      </c>
      <c r="AN47" s="39">
        <f>IFERROR(IF($AJ47="","",INDEX(Settings!$D$28:$D$34,MATCH($AJ47,Settings!$A$28:$A$34,0))),"")</f>
        <v/>
      </c>
      <c r="AP47">
        <f>IF(D47="","",D47^2)</f>
        <v/>
      </c>
      <c r="AQ47">
        <f>IF(G47="","",G47^2)</f>
        <v/>
      </c>
    </row>
    <row r="48">
      <c r="A48" s="30">
        <f>IF(Roster!$A48="","",Roster!$A48)</f>
        <v/>
      </c>
      <c r="B48" s="31">
        <f>IF(Roster!$B48&lt;&gt;"",Roster!$C48&amp;" "&amp;Roster!$B48,"")</f>
        <v/>
      </c>
      <c r="C48" s="30">
        <f>IF(Roster!$B48&lt;&gt;"",Roster!$D48,"")</f>
        <v/>
      </c>
      <c r="D48" s="16">
        <f>IF(AND(Roster!$B48&lt;&gt;"",COUNT('Pre-Test Entry'!$C48:$AQ48)&gt;0),'Pre-Test Entry'!$AS48,"")</f>
        <v/>
      </c>
      <c r="E48" s="37">
        <f>IFERROR(D48/Settings!$B$8,"")</f>
        <v/>
      </c>
      <c r="F48" s="31">
        <f>IF(D48="","",IF(D48&gt;=Settings!$B$7,"Distinguished Learner",IF(D48&gt;=Settings!$B$6,"Proficient Learner",IF(D48&gt;=Settings!$B$5,"Developing Learner","Beginning Learner"))))</f>
        <v/>
      </c>
      <c r="G48" s="16">
        <f>IF(AND(Roster!$B48&lt;&gt;"",COUNT('Post-Test Entry'!$C48:$AQ48)&gt;0),'Post-Test Entry'!$AS48,"")</f>
        <v/>
      </c>
      <c r="H48" s="37">
        <f>IFERROR(G48/Settings!$B$8,"")</f>
        <v/>
      </c>
      <c r="I48" s="31">
        <f>IF(G48="","",IF(G48&gt;=Settings!$B$7,"Distinguished Learner",IF(G48&gt;=Settings!$B$6,"Proficient Learner",IF(G48&gt;=Settings!$B$5,"Developing Learner","Beginning Learner"))))</f>
        <v/>
      </c>
      <c r="J48" s="16">
        <f>IF(OR(D48="",G48=""),"",G48-D48)</f>
        <v/>
      </c>
      <c r="K48" s="37">
        <f>IFERROR(IF(OR(J48="",J48&lt;=0),"",(G48-D48)/(Settings!$B$8-D48)),"")</f>
        <v/>
      </c>
      <c r="L48" s="38">
        <f>IFERROR(IF(J48="","",(G48-D48)/(Settings!$B$17*SQRT(2))),"")</f>
        <v/>
      </c>
      <c r="M48" s="30">
        <f>IF(L48="","",IF(ABS(L48)&gt;=1.96,"Yes","No"))</f>
        <v/>
      </c>
      <c r="N48" s="30">
        <f>IF(J48="","",IF(J48&gt;=Settings!$B$15,"Yes","No"))</f>
        <v/>
      </c>
      <c r="O48" s="37">
        <f>IFERROR(IF($D48="","",SUMIF('Pre-Test Entry'!$C$3:$AQ$3,Settings!$A$28,'Pre-Test Entry'!$C48:$AQ48)/Settings!$C$28),"")</f>
        <v/>
      </c>
      <c r="P48" s="37">
        <f>IFERROR(IF($D48="","",SUMIF('Pre-Test Entry'!$C$3:$AQ$3,Settings!$A$29,'Pre-Test Entry'!$C48:$AQ48)/Settings!$C$29),"")</f>
        <v/>
      </c>
      <c r="Q48" s="37">
        <f>IFERROR(IF($D48="","",SUMIF('Pre-Test Entry'!$C$3:$AQ$3,Settings!$A$30,'Pre-Test Entry'!$C48:$AQ48)/Settings!$C$30),"")</f>
        <v/>
      </c>
      <c r="R48" s="37">
        <f>IFERROR(IF($D48="","",SUMIF('Pre-Test Entry'!$C$3:$AQ$3,Settings!$A$31,'Pre-Test Entry'!$C48:$AQ48)/Settings!$C$31),"")</f>
        <v/>
      </c>
      <c r="S48" s="37">
        <f>IFERROR(IF($D48="","",SUMIF('Pre-Test Entry'!$C$3:$AQ$3,Settings!$A$32,'Pre-Test Entry'!$C48:$AQ48)/Settings!$C$32),"")</f>
        <v/>
      </c>
      <c r="T48" s="37">
        <f>IFERROR(IF($D48="","",SUMIF('Pre-Test Entry'!$C$3:$AQ$3,Settings!$A$33,'Pre-Test Entry'!$C48:$AQ48)/Settings!$C$33),"")</f>
        <v/>
      </c>
      <c r="U48" s="37">
        <f>IFERROR(IF($D48="","",SUMIF('Pre-Test Entry'!$C$3:$AQ$3,Settings!$A$34,'Pre-Test Entry'!$C48:$AQ48)/Settings!$C$34),"")</f>
        <v/>
      </c>
      <c r="V48" s="37">
        <f>IFERROR(IF($G48="","",SUMIF('Post-Test Entry'!$C$3:$AQ$3,Settings!$A$28,'Post-Test Entry'!$C48:$AQ48)/Settings!$C$28),"")</f>
        <v/>
      </c>
      <c r="W48" s="37">
        <f>IFERROR(IF($G48="","",SUMIF('Post-Test Entry'!$C$3:$AQ$3,Settings!$A$29,'Post-Test Entry'!$C48:$AQ48)/Settings!$C$29),"")</f>
        <v/>
      </c>
      <c r="X48" s="37">
        <f>IFERROR(IF($G48="","",SUMIF('Post-Test Entry'!$C$3:$AQ$3,Settings!$A$30,'Post-Test Entry'!$C48:$AQ48)/Settings!$C$30),"")</f>
        <v/>
      </c>
      <c r="Y48" s="37">
        <f>IFERROR(IF($G48="","",SUMIF('Post-Test Entry'!$C$3:$AQ$3,Settings!$A$31,'Post-Test Entry'!$C48:$AQ48)/Settings!$C$31),"")</f>
        <v/>
      </c>
      <c r="Z48" s="37">
        <f>IFERROR(IF($G48="","",SUMIF('Post-Test Entry'!$C$3:$AQ$3,Settings!$A$32,'Post-Test Entry'!$C48:$AQ48)/Settings!$C$32),"")</f>
        <v/>
      </c>
      <c r="AA48" s="37">
        <f>IFERROR(IF($G48="","",SUMIF('Post-Test Entry'!$C$3:$AQ$3,Settings!$A$33,'Post-Test Entry'!$C48:$AQ48)/Settings!$C$33),"")</f>
        <v/>
      </c>
      <c r="AB48" s="37">
        <f>IFERROR(IF($G48="","",SUMIF('Post-Test Entry'!$C$3:$AQ$3,Settings!$A$34,'Post-Test Entry'!$C48:$AQ48)/Settings!$C$34),"")</f>
        <v/>
      </c>
      <c r="AC48" s="37">
        <f>IF(OR(O48="",V48=""),"",V48-O48)</f>
        <v/>
      </c>
      <c r="AD48" s="37">
        <f>IF(OR(P48="",W48=""),"",W48-P48)</f>
        <v/>
      </c>
      <c r="AE48" s="37">
        <f>IF(OR(Q48="",X48=""),"",X48-Q48)</f>
        <v/>
      </c>
      <c r="AF48" s="37">
        <f>IF(OR(R48="",Y48=""),"",Y48-R48)</f>
        <v/>
      </c>
      <c r="AG48" s="37">
        <f>IF(OR(S48="",Z48=""),"",Z48-S48)</f>
        <v/>
      </c>
      <c r="AH48" s="37">
        <f>IF(OR(T48="",AA48=""),"",AA48-T48)</f>
        <v/>
      </c>
      <c r="AI48" s="37">
        <f>IF(OR(U48="",AB48=""),"",AB48-U48)</f>
        <v/>
      </c>
      <c r="AJ48" s="30">
        <f>IFERROR(IF($G48&lt;&gt;"",INDEX($V$4:$AB$4,MATCH(MIN($V48:$AB48),$V48:$AB48,0)),IF($D48&lt;&gt;"",INDEX($O$4:$U$4,MATCH(MIN($O48:$U48),$O48:$U48,0)),"")),"")</f>
        <v/>
      </c>
      <c r="AK48" s="30">
        <f>IFERROR(IF($G48&lt;&gt;"",INDEX($V$4:$AB$4,MATCH(SMALL($V48:$AB48,2),$V48:$AB48,0)),IF($D48&lt;&gt;"",INDEX($O$4:$U$4,MATCH(SMALL($O48:$U48,2),$O48:$U48,0)),"")),"")</f>
        <v/>
      </c>
      <c r="AL48" s="30">
        <f>IF(OR(G48="",Settings!$B$17=""),"",IF(OR(ABS(G48-Settings!$B$5)&lt;=Settings!$B$17,ABS(G48-Settings!$B$6)&lt;=Settings!$B$17,ABS(G48-Settings!$B$7)&lt;=Settings!$B$17),"NEAR CUT",""))</f>
        <v/>
      </c>
      <c r="AM48" s="31">
        <f>IF('Post-Test Entry'!$AR48&lt;&gt;"","Post essay: code "&amp;'Post-Test Entry'!$AR48,IF('Pre-Test Entry'!$AR48&lt;&gt;"","Pre essay: code "&amp;'Pre-Test Entry'!$AR48,""))</f>
        <v/>
      </c>
      <c r="AN48" s="39">
        <f>IFERROR(IF($AJ48="","",INDEX(Settings!$D$28:$D$34,MATCH($AJ48,Settings!$A$28:$A$34,0))),"")</f>
        <v/>
      </c>
      <c r="AP48">
        <f>IF(D48="","",D48^2)</f>
        <v/>
      </c>
      <c r="AQ48">
        <f>IF(G48="","",G48^2)</f>
        <v/>
      </c>
    </row>
    <row r="49">
      <c r="A49" s="30">
        <f>IF(Roster!$A49="","",Roster!$A49)</f>
        <v/>
      </c>
      <c r="B49" s="31">
        <f>IF(Roster!$B49&lt;&gt;"",Roster!$C49&amp;" "&amp;Roster!$B49,"")</f>
        <v/>
      </c>
      <c r="C49" s="30">
        <f>IF(Roster!$B49&lt;&gt;"",Roster!$D49,"")</f>
        <v/>
      </c>
      <c r="D49" s="16">
        <f>IF(AND(Roster!$B49&lt;&gt;"",COUNT('Pre-Test Entry'!$C49:$AQ49)&gt;0),'Pre-Test Entry'!$AS49,"")</f>
        <v/>
      </c>
      <c r="E49" s="37">
        <f>IFERROR(D49/Settings!$B$8,"")</f>
        <v/>
      </c>
      <c r="F49" s="31">
        <f>IF(D49="","",IF(D49&gt;=Settings!$B$7,"Distinguished Learner",IF(D49&gt;=Settings!$B$6,"Proficient Learner",IF(D49&gt;=Settings!$B$5,"Developing Learner","Beginning Learner"))))</f>
        <v/>
      </c>
      <c r="G49" s="16">
        <f>IF(AND(Roster!$B49&lt;&gt;"",COUNT('Post-Test Entry'!$C49:$AQ49)&gt;0),'Post-Test Entry'!$AS49,"")</f>
        <v/>
      </c>
      <c r="H49" s="37">
        <f>IFERROR(G49/Settings!$B$8,"")</f>
        <v/>
      </c>
      <c r="I49" s="31">
        <f>IF(G49="","",IF(G49&gt;=Settings!$B$7,"Distinguished Learner",IF(G49&gt;=Settings!$B$6,"Proficient Learner",IF(G49&gt;=Settings!$B$5,"Developing Learner","Beginning Learner"))))</f>
        <v/>
      </c>
      <c r="J49" s="16">
        <f>IF(OR(D49="",G49=""),"",G49-D49)</f>
        <v/>
      </c>
      <c r="K49" s="37">
        <f>IFERROR(IF(OR(J49="",J49&lt;=0),"",(G49-D49)/(Settings!$B$8-D49)),"")</f>
        <v/>
      </c>
      <c r="L49" s="38">
        <f>IFERROR(IF(J49="","",(G49-D49)/(Settings!$B$17*SQRT(2))),"")</f>
        <v/>
      </c>
      <c r="M49" s="30">
        <f>IF(L49="","",IF(ABS(L49)&gt;=1.96,"Yes","No"))</f>
        <v/>
      </c>
      <c r="N49" s="30">
        <f>IF(J49="","",IF(J49&gt;=Settings!$B$15,"Yes","No"))</f>
        <v/>
      </c>
      <c r="O49" s="37">
        <f>IFERROR(IF($D49="","",SUMIF('Pre-Test Entry'!$C$3:$AQ$3,Settings!$A$28,'Pre-Test Entry'!$C49:$AQ49)/Settings!$C$28),"")</f>
        <v/>
      </c>
      <c r="P49" s="37">
        <f>IFERROR(IF($D49="","",SUMIF('Pre-Test Entry'!$C$3:$AQ$3,Settings!$A$29,'Pre-Test Entry'!$C49:$AQ49)/Settings!$C$29),"")</f>
        <v/>
      </c>
      <c r="Q49" s="37">
        <f>IFERROR(IF($D49="","",SUMIF('Pre-Test Entry'!$C$3:$AQ$3,Settings!$A$30,'Pre-Test Entry'!$C49:$AQ49)/Settings!$C$30),"")</f>
        <v/>
      </c>
      <c r="R49" s="37">
        <f>IFERROR(IF($D49="","",SUMIF('Pre-Test Entry'!$C$3:$AQ$3,Settings!$A$31,'Pre-Test Entry'!$C49:$AQ49)/Settings!$C$31),"")</f>
        <v/>
      </c>
      <c r="S49" s="37">
        <f>IFERROR(IF($D49="","",SUMIF('Pre-Test Entry'!$C$3:$AQ$3,Settings!$A$32,'Pre-Test Entry'!$C49:$AQ49)/Settings!$C$32),"")</f>
        <v/>
      </c>
      <c r="T49" s="37">
        <f>IFERROR(IF($D49="","",SUMIF('Pre-Test Entry'!$C$3:$AQ$3,Settings!$A$33,'Pre-Test Entry'!$C49:$AQ49)/Settings!$C$33),"")</f>
        <v/>
      </c>
      <c r="U49" s="37">
        <f>IFERROR(IF($D49="","",SUMIF('Pre-Test Entry'!$C$3:$AQ$3,Settings!$A$34,'Pre-Test Entry'!$C49:$AQ49)/Settings!$C$34),"")</f>
        <v/>
      </c>
      <c r="V49" s="37">
        <f>IFERROR(IF($G49="","",SUMIF('Post-Test Entry'!$C$3:$AQ$3,Settings!$A$28,'Post-Test Entry'!$C49:$AQ49)/Settings!$C$28),"")</f>
        <v/>
      </c>
      <c r="W49" s="37">
        <f>IFERROR(IF($G49="","",SUMIF('Post-Test Entry'!$C$3:$AQ$3,Settings!$A$29,'Post-Test Entry'!$C49:$AQ49)/Settings!$C$29),"")</f>
        <v/>
      </c>
      <c r="X49" s="37">
        <f>IFERROR(IF($G49="","",SUMIF('Post-Test Entry'!$C$3:$AQ$3,Settings!$A$30,'Post-Test Entry'!$C49:$AQ49)/Settings!$C$30),"")</f>
        <v/>
      </c>
      <c r="Y49" s="37">
        <f>IFERROR(IF($G49="","",SUMIF('Post-Test Entry'!$C$3:$AQ$3,Settings!$A$31,'Post-Test Entry'!$C49:$AQ49)/Settings!$C$31),"")</f>
        <v/>
      </c>
      <c r="Z49" s="37">
        <f>IFERROR(IF($G49="","",SUMIF('Post-Test Entry'!$C$3:$AQ$3,Settings!$A$32,'Post-Test Entry'!$C49:$AQ49)/Settings!$C$32),"")</f>
        <v/>
      </c>
      <c r="AA49" s="37">
        <f>IFERROR(IF($G49="","",SUMIF('Post-Test Entry'!$C$3:$AQ$3,Settings!$A$33,'Post-Test Entry'!$C49:$AQ49)/Settings!$C$33),"")</f>
        <v/>
      </c>
      <c r="AB49" s="37">
        <f>IFERROR(IF($G49="","",SUMIF('Post-Test Entry'!$C$3:$AQ$3,Settings!$A$34,'Post-Test Entry'!$C49:$AQ49)/Settings!$C$34),"")</f>
        <v/>
      </c>
      <c r="AC49" s="37">
        <f>IF(OR(O49="",V49=""),"",V49-O49)</f>
        <v/>
      </c>
      <c r="AD49" s="37">
        <f>IF(OR(P49="",W49=""),"",W49-P49)</f>
        <v/>
      </c>
      <c r="AE49" s="37">
        <f>IF(OR(Q49="",X49=""),"",X49-Q49)</f>
        <v/>
      </c>
      <c r="AF49" s="37">
        <f>IF(OR(R49="",Y49=""),"",Y49-R49)</f>
        <v/>
      </c>
      <c r="AG49" s="37">
        <f>IF(OR(S49="",Z49=""),"",Z49-S49)</f>
        <v/>
      </c>
      <c r="AH49" s="37">
        <f>IF(OR(T49="",AA49=""),"",AA49-T49)</f>
        <v/>
      </c>
      <c r="AI49" s="37">
        <f>IF(OR(U49="",AB49=""),"",AB49-U49)</f>
        <v/>
      </c>
      <c r="AJ49" s="30">
        <f>IFERROR(IF($G49&lt;&gt;"",INDEX($V$4:$AB$4,MATCH(MIN($V49:$AB49),$V49:$AB49,0)),IF($D49&lt;&gt;"",INDEX($O$4:$U$4,MATCH(MIN($O49:$U49),$O49:$U49,0)),"")),"")</f>
        <v/>
      </c>
      <c r="AK49" s="30">
        <f>IFERROR(IF($G49&lt;&gt;"",INDEX($V$4:$AB$4,MATCH(SMALL($V49:$AB49,2),$V49:$AB49,0)),IF($D49&lt;&gt;"",INDEX($O$4:$U$4,MATCH(SMALL($O49:$U49,2),$O49:$U49,0)),"")),"")</f>
        <v/>
      </c>
      <c r="AL49" s="30">
        <f>IF(OR(G49="",Settings!$B$17=""),"",IF(OR(ABS(G49-Settings!$B$5)&lt;=Settings!$B$17,ABS(G49-Settings!$B$6)&lt;=Settings!$B$17,ABS(G49-Settings!$B$7)&lt;=Settings!$B$17),"NEAR CUT",""))</f>
        <v/>
      </c>
      <c r="AM49" s="31">
        <f>IF('Post-Test Entry'!$AR49&lt;&gt;"","Post essay: code "&amp;'Post-Test Entry'!$AR49,IF('Pre-Test Entry'!$AR49&lt;&gt;"","Pre essay: code "&amp;'Pre-Test Entry'!$AR49,""))</f>
        <v/>
      </c>
      <c r="AN49" s="39">
        <f>IFERROR(IF($AJ49="","",INDEX(Settings!$D$28:$D$34,MATCH($AJ49,Settings!$A$28:$A$34,0))),"")</f>
        <v/>
      </c>
      <c r="AP49">
        <f>IF(D49="","",D49^2)</f>
        <v/>
      </c>
      <c r="AQ49">
        <f>IF(G49="","",G49^2)</f>
        <v/>
      </c>
    </row>
    <row r="50">
      <c r="A50" s="30">
        <f>IF(Roster!$A50="","",Roster!$A50)</f>
        <v/>
      </c>
      <c r="B50" s="31">
        <f>IF(Roster!$B50&lt;&gt;"",Roster!$C50&amp;" "&amp;Roster!$B50,"")</f>
        <v/>
      </c>
      <c r="C50" s="30">
        <f>IF(Roster!$B50&lt;&gt;"",Roster!$D50,"")</f>
        <v/>
      </c>
      <c r="D50" s="16">
        <f>IF(AND(Roster!$B50&lt;&gt;"",COUNT('Pre-Test Entry'!$C50:$AQ50)&gt;0),'Pre-Test Entry'!$AS50,"")</f>
        <v/>
      </c>
      <c r="E50" s="37">
        <f>IFERROR(D50/Settings!$B$8,"")</f>
        <v/>
      </c>
      <c r="F50" s="31">
        <f>IF(D50="","",IF(D50&gt;=Settings!$B$7,"Distinguished Learner",IF(D50&gt;=Settings!$B$6,"Proficient Learner",IF(D50&gt;=Settings!$B$5,"Developing Learner","Beginning Learner"))))</f>
        <v/>
      </c>
      <c r="G50" s="16">
        <f>IF(AND(Roster!$B50&lt;&gt;"",COUNT('Post-Test Entry'!$C50:$AQ50)&gt;0),'Post-Test Entry'!$AS50,"")</f>
        <v/>
      </c>
      <c r="H50" s="37">
        <f>IFERROR(G50/Settings!$B$8,"")</f>
        <v/>
      </c>
      <c r="I50" s="31">
        <f>IF(G50="","",IF(G50&gt;=Settings!$B$7,"Distinguished Learner",IF(G50&gt;=Settings!$B$6,"Proficient Learner",IF(G50&gt;=Settings!$B$5,"Developing Learner","Beginning Learner"))))</f>
        <v/>
      </c>
      <c r="J50" s="16">
        <f>IF(OR(D50="",G50=""),"",G50-D50)</f>
        <v/>
      </c>
      <c r="K50" s="37">
        <f>IFERROR(IF(OR(J50="",J50&lt;=0),"",(G50-D50)/(Settings!$B$8-D50)),"")</f>
        <v/>
      </c>
      <c r="L50" s="38">
        <f>IFERROR(IF(J50="","",(G50-D50)/(Settings!$B$17*SQRT(2))),"")</f>
        <v/>
      </c>
      <c r="M50" s="30">
        <f>IF(L50="","",IF(ABS(L50)&gt;=1.96,"Yes","No"))</f>
        <v/>
      </c>
      <c r="N50" s="30">
        <f>IF(J50="","",IF(J50&gt;=Settings!$B$15,"Yes","No"))</f>
        <v/>
      </c>
      <c r="O50" s="37">
        <f>IFERROR(IF($D50="","",SUMIF('Pre-Test Entry'!$C$3:$AQ$3,Settings!$A$28,'Pre-Test Entry'!$C50:$AQ50)/Settings!$C$28),"")</f>
        <v/>
      </c>
      <c r="P50" s="37">
        <f>IFERROR(IF($D50="","",SUMIF('Pre-Test Entry'!$C$3:$AQ$3,Settings!$A$29,'Pre-Test Entry'!$C50:$AQ50)/Settings!$C$29),"")</f>
        <v/>
      </c>
      <c r="Q50" s="37">
        <f>IFERROR(IF($D50="","",SUMIF('Pre-Test Entry'!$C$3:$AQ$3,Settings!$A$30,'Pre-Test Entry'!$C50:$AQ50)/Settings!$C$30),"")</f>
        <v/>
      </c>
      <c r="R50" s="37">
        <f>IFERROR(IF($D50="","",SUMIF('Pre-Test Entry'!$C$3:$AQ$3,Settings!$A$31,'Pre-Test Entry'!$C50:$AQ50)/Settings!$C$31),"")</f>
        <v/>
      </c>
      <c r="S50" s="37">
        <f>IFERROR(IF($D50="","",SUMIF('Pre-Test Entry'!$C$3:$AQ$3,Settings!$A$32,'Pre-Test Entry'!$C50:$AQ50)/Settings!$C$32),"")</f>
        <v/>
      </c>
      <c r="T50" s="37">
        <f>IFERROR(IF($D50="","",SUMIF('Pre-Test Entry'!$C$3:$AQ$3,Settings!$A$33,'Pre-Test Entry'!$C50:$AQ50)/Settings!$C$33),"")</f>
        <v/>
      </c>
      <c r="U50" s="37">
        <f>IFERROR(IF($D50="","",SUMIF('Pre-Test Entry'!$C$3:$AQ$3,Settings!$A$34,'Pre-Test Entry'!$C50:$AQ50)/Settings!$C$34),"")</f>
        <v/>
      </c>
      <c r="V50" s="37">
        <f>IFERROR(IF($G50="","",SUMIF('Post-Test Entry'!$C$3:$AQ$3,Settings!$A$28,'Post-Test Entry'!$C50:$AQ50)/Settings!$C$28),"")</f>
        <v/>
      </c>
      <c r="W50" s="37">
        <f>IFERROR(IF($G50="","",SUMIF('Post-Test Entry'!$C$3:$AQ$3,Settings!$A$29,'Post-Test Entry'!$C50:$AQ50)/Settings!$C$29),"")</f>
        <v/>
      </c>
      <c r="X50" s="37">
        <f>IFERROR(IF($G50="","",SUMIF('Post-Test Entry'!$C$3:$AQ$3,Settings!$A$30,'Post-Test Entry'!$C50:$AQ50)/Settings!$C$30),"")</f>
        <v/>
      </c>
      <c r="Y50" s="37">
        <f>IFERROR(IF($G50="","",SUMIF('Post-Test Entry'!$C$3:$AQ$3,Settings!$A$31,'Post-Test Entry'!$C50:$AQ50)/Settings!$C$31),"")</f>
        <v/>
      </c>
      <c r="Z50" s="37">
        <f>IFERROR(IF($G50="","",SUMIF('Post-Test Entry'!$C$3:$AQ$3,Settings!$A$32,'Post-Test Entry'!$C50:$AQ50)/Settings!$C$32),"")</f>
        <v/>
      </c>
      <c r="AA50" s="37">
        <f>IFERROR(IF($G50="","",SUMIF('Post-Test Entry'!$C$3:$AQ$3,Settings!$A$33,'Post-Test Entry'!$C50:$AQ50)/Settings!$C$33),"")</f>
        <v/>
      </c>
      <c r="AB50" s="37">
        <f>IFERROR(IF($G50="","",SUMIF('Post-Test Entry'!$C$3:$AQ$3,Settings!$A$34,'Post-Test Entry'!$C50:$AQ50)/Settings!$C$34),"")</f>
        <v/>
      </c>
      <c r="AC50" s="37">
        <f>IF(OR(O50="",V50=""),"",V50-O50)</f>
        <v/>
      </c>
      <c r="AD50" s="37">
        <f>IF(OR(P50="",W50=""),"",W50-P50)</f>
        <v/>
      </c>
      <c r="AE50" s="37">
        <f>IF(OR(Q50="",X50=""),"",X50-Q50)</f>
        <v/>
      </c>
      <c r="AF50" s="37">
        <f>IF(OR(R50="",Y50=""),"",Y50-R50)</f>
        <v/>
      </c>
      <c r="AG50" s="37">
        <f>IF(OR(S50="",Z50=""),"",Z50-S50)</f>
        <v/>
      </c>
      <c r="AH50" s="37">
        <f>IF(OR(T50="",AA50=""),"",AA50-T50)</f>
        <v/>
      </c>
      <c r="AI50" s="37">
        <f>IF(OR(U50="",AB50=""),"",AB50-U50)</f>
        <v/>
      </c>
      <c r="AJ50" s="30">
        <f>IFERROR(IF($G50&lt;&gt;"",INDEX($V$4:$AB$4,MATCH(MIN($V50:$AB50),$V50:$AB50,0)),IF($D50&lt;&gt;"",INDEX($O$4:$U$4,MATCH(MIN($O50:$U50),$O50:$U50,0)),"")),"")</f>
        <v/>
      </c>
      <c r="AK50" s="30">
        <f>IFERROR(IF($G50&lt;&gt;"",INDEX($V$4:$AB$4,MATCH(SMALL($V50:$AB50,2),$V50:$AB50,0)),IF($D50&lt;&gt;"",INDEX($O$4:$U$4,MATCH(SMALL($O50:$U50,2),$O50:$U50,0)),"")),"")</f>
        <v/>
      </c>
      <c r="AL50" s="30">
        <f>IF(OR(G50="",Settings!$B$17=""),"",IF(OR(ABS(G50-Settings!$B$5)&lt;=Settings!$B$17,ABS(G50-Settings!$B$6)&lt;=Settings!$B$17,ABS(G50-Settings!$B$7)&lt;=Settings!$B$17),"NEAR CUT",""))</f>
        <v/>
      </c>
      <c r="AM50" s="31">
        <f>IF('Post-Test Entry'!$AR50&lt;&gt;"","Post essay: code "&amp;'Post-Test Entry'!$AR50,IF('Pre-Test Entry'!$AR50&lt;&gt;"","Pre essay: code "&amp;'Pre-Test Entry'!$AR50,""))</f>
        <v/>
      </c>
      <c r="AN50" s="39">
        <f>IFERROR(IF($AJ50="","",INDEX(Settings!$D$28:$D$34,MATCH($AJ50,Settings!$A$28:$A$34,0))),"")</f>
        <v/>
      </c>
      <c r="AP50">
        <f>IF(D50="","",D50^2)</f>
        <v/>
      </c>
      <c r="AQ50">
        <f>IF(G50="","",G50^2)</f>
        <v/>
      </c>
    </row>
    <row r="51">
      <c r="A51" s="30">
        <f>IF(Roster!$A51="","",Roster!$A51)</f>
        <v/>
      </c>
      <c r="B51" s="31">
        <f>IF(Roster!$B51&lt;&gt;"",Roster!$C51&amp;" "&amp;Roster!$B51,"")</f>
        <v/>
      </c>
      <c r="C51" s="30">
        <f>IF(Roster!$B51&lt;&gt;"",Roster!$D51,"")</f>
        <v/>
      </c>
      <c r="D51" s="16">
        <f>IF(AND(Roster!$B51&lt;&gt;"",COUNT('Pre-Test Entry'!$C51:$AQ51)&gt;0),'Pre-Test Entry'!$AS51,"")</f>
        <v/>
      </c>
      <c r="E51" s="37">
        <f>IFERROR(D51/Settings!$B$8,"")</f>
        <v/>
      </c>
      <c r="F51" s="31">
        <f>IF(D51="","",IF(D51&gt;=Settings!$B$7,"Distinguished Learner",IF(D51&gt;=Settings!$B$6,"Proficient Learner",IF(D51&gt;=Settings!$B$5,"Developing Learner","Beginning Learner"))))</f>
        <v/>
      </c>
      <c r="G51" s="16">
        <f>IF(AND(Roster!$B51&lt;&gt;"",COUNT('Post-Test Entry'!$C51:$AQ51)&gt;0),'Post-Test Entry'!$AS51,"")</f>
        <v/>
      </c>
      <c r="H51" s="37">
        <f>IFERROR(G51/Settings!$B$8,"")</f>
        <v/>
      </c>
      <c r="I51" s="31">
        <f>IF(G51="","",IF(G51&gt;=Settings!$B$7,"Distinguished Learner",IF(G51&gt;=Settings!$B$6,"Proficient Learner",IF(G51&gt;=Settings!$B$5,"Developing Learner","Beginning Learner"))))</f>
        <v/>
      </c>
      <c r="J51" s="16">
        <f>IF(OR(D51="",G51=""),"",G51-D51)</f>
        <v/>
      </c>
      <c r="K51" s="37">
        <f>IFERROR(IF(OR(J51="",J51&lt;=0),"",(G51-D51)/(Settings!$B$8-D51)),"")</f>
        <v/>
      </c>
      <c r="L51" s="38">
        <f>IFERROR(IF(J51="","",(G51-D51)/(Settings!$B$17*SQRT(2))),"")</f>
        <v/>
      </c>
      <c r="M51" s="30">
        <f>IF(L51="","",IF(ABS(L51)&gt;=1.96,"Yes","No"))</f>
        <v/>
      </c>
      <c r="N51" s="30">
        <f>IF(J51="","",IF(J51&gt;=Settings!$B$15,"Yes","No"))</f>
        <v/>
      </c>
      <c r="O51" s="37">
        <f>IFERROR(IF($D51="","",SUMIF('Pre-Test Entry'!$C$3:$AQ$3,Settings!$A$28,'Pre-Test Entry'!$C51:$AQ51)/Settings!$C$28),"")</f>
        <v/>
      </c>
      <c r="P51" s="37">
        <f>IFERROR(IF($D51="","",SUMIF('Pre-Test Entry'!$C$3:$AQ$3,Settings!$A$29,'Pre-Test Entry'!$C51:$AQ51)/Settings!$C$29),"")</f>
        <v/>
      </c>
      <c r="Q51" s="37">
        <f>IFERROR(IF($D51="","",SUMIF('Pre-Test Entry'!$C$3:$AQ$3,Settings!$A$30,'Pre-Test Entry'!$C51:$AQ51)/Settings!$C$30),"")</f>
        <v/>
      </c>
      <c r="R51" s="37">
        <f>IFERROR(IF($D51="","",SUMIF('Pre-Test Entry'!$C$3:$AQ$3,Settings!$A$31,'Pre-Test Entry'!$C51:$AQ51)/Settings!$C$31),"")</f>
        <v/>
      </c>
      <c r="S51" s="37">
        <f>IFERROR(IF($D51="","",SUMIF('Pre-Test Entry'!$C$3:$AQ$3,Settings!$A$32,'Pre-Test Entry'!$C51:$AQ51)/Settings!$C$32),"")</f>
        <v/>
      </c>
      <c r="T51" s="37">
        <f>IFERROR(IF($D51="","",SUMIF('Pre-Test Entry'!$C$3:$AQ$3,Settings!$A$33,'Pre-Test Entry'!$C51:$AQ51)/Settings!$C$33),"")</f>
        <v/>
      </c>
      <c r="U51" s="37">
        <f>IFERROR(IF($D51="","",SUMIF('Pre-Test Entry'!$C$3:$AQ$3,Settings!$A$34,'Pre-Test Entry'!$C51:$AQ51)/Settings!$C$34),"")</f>
        <v/>
      </c>
      <c r="V51" s="37">
        <f>IFERROR(IF($G51="","",SUMIF('Post-Test Entry'!$C$3:$AQ$3,Settings!$A$28,'Post-Test Entry'!$C51:$AQ51)/Settings!$C$28),"")</f>
        <v/>
      </c>
      <c r="W51" s="37">
        <f>IFERROR(IF($G51="","",SUMIF('Post-Test Entry'!$C$3:$AQ$3,Settings!$A$29,'Post-Test Entry'!$C51:$AQ51)/Settings!$C$29),"")</f>
        <v/>
      </c>
      <c r="X51" s="37">
        <f>IFERROR(IF($G51="","",SUMIF('Post-Test Entry'!$C$3:$AQ$3,Settings!$A$30,'Post-Test Entry'!$C51:$AQ51)/Settings!$C$30),"")</f>
        <v/>
      </c>
      <c r="Y51" s="37">
        <f>IFERROR(IF($G51="","",SUMIF('Post-Test Entry'!$C$3:$AQ$3,Settings!$A$31,'Post-Test Entry'!$C51:$AQ51)/Settings!$C$31),"")</f>
        <v/>
      </c>
      <c r="Z51" s="37">
        <f>IFERROR(IF($G51="","",SUMIF('Post-Test Entry'!$C$3:$AQ$3,Settings!$A$32,'Post-Test Entry'!$C51:$AQ51)/Settings!$C$32),"")</f>
        <v/>
      </c>
      <c r="AA51" s="37">
        <f>IFERROR(IF($G51="","",SUMIF('Post-Test Entry'!$C$3:$AQ$3,Settings!$A$33,'Post-Test Entry'!$C51:$AQ51)/Settings!$C$33),"")</f>
        <v/>
      </c>
      <c r="AB51" s="37">
        <f>IFERROR(IF($G51="","",SUMIF('Post-Test Entry'!$C$3:$AQ$3,Settings!$A$34,'Post-Test Entry'!$C51:$AQ51)/Settings!$C$34),"")</f>
        <v/>
      </c>
      <c r="AC51" s="37">
        <f>IF(OR(O51="",V51=""),"",V51-O51)</f>
        <v/>
      </c>
      <c r="AD51" s="37">
        <f>IF(OR(P51="",W51=""),"",W51-P51)</f>
        <v/>
      </c>
      <c r="AE51" s="37">
        <f>IF(OR(Q51="",X51=""),"",X51-Q51)</f>
        <v/>
      </c>
      <c r="AF51" s="37">
        <f>IF(OR(R51="",Y51=""),"",Y51-R51)</f>
        <v/>
      </c>
      <c r="AG51" s="37">
        <f>IF(OR(S51="",Z51=""),"",Z51-S51)</f>
        <v/>
      </c>
      <c r="AH51" s="37">
        <f>IF(OR(T51="",AA51=""),"",AA51-T51)</f>
        <v/>
      </c>
      <c r="AI51" s="37">
        <f>IF(OR(U51="",AB51=""),"",AB51-U51)</f>
        <v/>
      </c>
      <c r="AJ51" s="30">
        <f>IFERROR(IF($G51&lt;&gt;"",INDEX($V$4:$AB$4,MATCH(MIN($V51:$AB51),$V51:$AB51,0)),IF($D51&lt;&gt;"",INDEX($O$4:$U$4,MATCH(MIN($O51:$U51),$O51:$U51,0)),"")),"")</f>
        <v/>
      </c>
      <c r="AK51" s="30">
        <f>IFERROR(IF($G51&lt;&gt;"",INDEX($V$4:$AB$4,MATCH(SMALL($V51:$AB51,2),$V51:$AB51,0)),IF($D51&lt;&gt;"",INDEX($O$4:$U$4,MATCH(SMALL($O51:$U51,2),$O51:$U51,0)),"")),"")</f>
        <v/>
      </c>
      <c r="AL51" s="30">
        <f>IF(OR(G51="",Settings!$B$17=""),"",IF(OR(ABS(G51-Settings!$B$5)&lt;=Settings!$B$17,ABS(G51-Settings!$B$6)&lt;=Settings!$B$17,ABS(G51-Settings!$B$7)&lt;=Settings!$B$17),"NEAR CUT",""))</f>
        <v/>
      </c>
      <c r="AM51" s="31">
        <f>IF('Post-Test Entry'!$AR51&lt;&gt;"","Post essay: code "&amp;'Post-Test Entry'!$AR51,IF('Pre-Test Entry'!$AR51&lt;&gt;"","Pre essay: code "&amp;'Pre-Test Entry'!$AR51,""))</f>
        <v/>
      </c>
      <c r="AN51" s="39">
        <f>IFERROR(IF($AJ51="","",INDEX(Settings!$D$28:$D$34,MATCH($AJ51,Settings!$A$28:$A$34,0))),"")</f>
        <v/>
      </c>
      <c r="AP51">
        <f>IF(D51="","",D51^2)</f>
        <v/>
      </c>
      <c r="AQ51">
        <f>IF(G51="","",G51^2)</f>
        <v/>
      </c>
    </row>
    <row r="52">
      <c r="A52" s="30">
        <f>IF(Roster!$A52="","",Roster!$A52)</f>
        <v/>
      </c>
      <c r="B52" s="31">
        <f>IF(Roster!$B52&lt;&gt;"",Roster!$C52&amp;" "&amp;Roster!$B52,"")</f>
        <v/>
      </c>
      <c r="C52" s="30">
        <f>IF(Roster!$B52&lt;&gt;"",Roster!$D52,"")</f>
        <v/>
      </c>
      <c r="D52" s="16">
        <f>IF(AND(Roster!$B52&lt;&gt;"",COUNT('Pre-Test Entry'!$C52:$AQ52)&gt;0),'Pre-Test Entry'!$AS52,"")</f>
        <v/>
      </c>
      <c r="E52" s="37">
        <f>IFERROR(D52/Settings!$B$8,"")</f>
        <v/>
      </c>
      <c r="F52" s="31">
        <f>IF(D52="","",IF(D52&gt;=Settings!$B$7,"Distinguished Learner",IF(D52&gt;=Settings!$B$6,"Proficient Learner",IF(D52&gt;=Settings!$B$5,"Developing Learner","Beginning Learner"))))</f>
        <v/>
      </c>
      <c r="G52" s="16">
        <f>IF(AND(Roster!$B52&lt;&gt;"",COUNT('Post-Test Entry'!$C52:$AQ52)&gt;0),'Post-Test Entry'!$AS52,"")</f>
        <v/>
      </c>
      <c r="H52" s="37">
        <f>IFERROR(G52/Settings!$B$8,"")</f>
        <v/>
      </c>
      <c r="I52" s="31">
        <f>IF(G52="","",IF(G52&gt;=Settings!$B$7,"Distinguished Learner",IF(G52&gt;=Settings!$B$6,"Proficient Learner",IF(G52&gt;=Settings!$B$5,"Developing Learner","Beginning Learner"))))</f>
        <v/>
      </c>
      <c r="J52" s="16">
        <f>IF(OR(D52="",G52=""),"",G52-D52)</f>
        <v/>
      </c>
      <c r="K52" s="37">
        <f>IFERROR(IF(OR(J52="",J52&lt;=0),"",(G52-D52)/(Settings!$B$8-D52)),"")</f>
        <v/>
      </c>
      <c r="L52" s="38">
        <f>IFERROR(IF(J52="","",(G52-D52)/(Settings!$B$17*SQRT(2))),"")</f>
        <v/>
      </c>
      <c r="M52" s="30">
        <f>IF(L52="","",IF(ABS(L52)&gt;=1.96,"Yes","No"))</f>
        <v/>
      </c>
      <c r="N52" s="30">
        <f>IF(J52="","",IF(J52&gt;=Settings!$B$15,"Yes","No"))</f>
        <v/>
      </c>
      <c r="O52" s="37">
        <f>IFERROR(IF($D52="","",SUMIF('Pre-Test Entry'!$C$3:$AQ$3,Settings!$A$28,'Pre-Test Entry'!$C52:$AQ52)/Settings!$C$28),"")</f>
        <v/>
      </c>
      <c r="P52" s="37">
        <f>IFERROR(IF($D52="","",SUMIF('Pre-Test Entry'!$C$3:$AQ$3,Settings!$A$29,'Pre-Test Entry'!$C52:$AQ52)/Settings!$C$29),"")</f>
        <v/>
      </c>
      <c r="Q52" s="37">
        <f>IFERROR(IF($D52="","",SUMIF('Pre-Test Entry'!$C$3:$AQ$3,Settings!$A$30,'Pre-Test Entry'!$C52:$AQ52)/Settings!$C$30),"")</f>
        <v/>
      </c>
      <c r="R52" s="37">
        <f>IFERROR(IF($D52="","",SUMIF('Pre-Test Entry'!$C$3:$AQ$3,Settings!$A$31,'Pre-Test Entry'!$C52:$AQ52)/Settings!$C$31),"")</f>
        <v/>
      </c>
      <c r="S52" s="37">
        <f>IFERROR(IF($D52="","",SUMIF('Pre-Test Entry'!$C$3:$AQ$3,Settings!$A$32,'Pre-Test Entry'!$C52:$AQ52)/Settings!$C$32),"")</f>
        <v/>
      </c>
      <c r="T52" s="37">
        <f>IFERROR(IF($D52="","",SUMIF('Pre-Test Entry'!$C$3:$AQ$3,Settings!$A$33,'Pre-Test Entry'!$C52:$AQ52)/Settings!$C$33),"")</f>
        <v/>
      </c>
      <c r="U52" s="37">
        <f>IFERROR(IF($D52="","",SUMIF('Pre-Test Entry'!$C$3:$AQ$3,Settings!$A$34,'Pre-Test Entry'!$C52:$AQ52)/Settings!$C$34),"")</f>
        <v/>
      </c>
      <c r="V52" s="37">
        <f>IFERROR(IF($G52="","",SUMIF('Post-Test Entry'!$C$3:$AQ$3,Settings!$A$28,'Post-Test Entry'!$C52:$AQ52)/Settings!$C$28),"")</f>
        <v/>
      </c>
      <c r="W52" s="37">
        <f>IFERROR(IF($G52="","",SUMIF('Post-Test Entry'!$C$3:$AQ$3,Settings!$A$29,'Post-Test Entry'!$C52:$AQ52)/Settings!$C$29),"")</f>
        <v/>
      </c>
      <c r="X52" s="37">
        <f>IFERROR(IF($G52="","",SUMIF('Post-Test Entry'!$C$3:$AQ$3,Settings!$A$30,'Post-Test Entry'!$C52:$AQ52)/Settings!$C$30),"")</f>
        <v/>
      </c>
      <c r="Y52" s="37">
        <f>IFERROR(IF($G52="","",SUMIF('Post-Test Entry'!$C$3:$AQ$3,Settings!$A$31,'Post-Test Entry'!$C52:$AQ52)/Settings!$C$31),"")</f>
        <v/>
      </c>
      <c r="Z52" s="37">
        <f>IFERROR(IF($G52="","",SUMIF('Post-Test Entry'!$C$3:$AQ$3,Settings!$A$32,'Post-Test Entry'!$C52:$AQ52)/Settings!$C$32),"")</f>
        <v/>
      </c>
      <c r="AA52" s="37">
        <f>IFERROR(IF($G52="","",SUMIF('Post-Test Entry'!$C$3:$AQ$3,Settings!$A$33,'Post-Test Entry'!$C52:$AQ52)/Settings!$C$33),"")</f>
        <v/>
      </c>
      <c r="AB52" s="37">
        <f>IFERROR(IF($G52="","",SUMIF('Post-Test Entry'!$C$3:$AQ$3,Settings!$A$34,'Post-Test Entry'!$C52:$AQ52)/Settings!$C$34),"")</f>
        <v/>
      </c>
      <c r="AC52" s="37">
        <f>IF(OR(O52="",V52=""),"",V52-O52)</f>
        <v/>
      </c>
      <c r="AD52" s="37">
        <f>IF(OR(P52="",W52=""),"",W52-P52)</f>
        <v/>
      </c>
      <c r="AE52" s="37">
        <f>IF(OR(Q52="",X52=""),"",X52-Q52)</f>
        <v/>
      </c>
      <c r="AF52" s="37">
        <f>IF(OR(R52="",Y52=""),"",Y52-R52)</f>
        <v/>
      </c>
      <c r="AG52" s="37">
        <f>IF(OR(S52="",Z52=""),"",Z52-S52)</f>
        <v/>
      </c>
      <c r="AH52" s="37">
        <f>IF(OR(T52="",AA52=""),"",AA52-T52)</f>
        <v/>
      </c>
      <c r="AI52" s="37">
        <f>IF(OR(U52="",AB52=""),"",AB52-U52)</f>
        <v/>
      </c>
      <c r="AJ52" s="30">
        <f>IFERROR(IF($G52&lt;&gt;"",INDEX($V$4:$AB$4,MATCH(MIN($V52:$AB52),$V52:$AB52,0)),IF($D52&lt;&gt;"",INDEX($O$4:$U$4,MATCH(MIN($O52:$U52),$O52:$U52,0)),"")),"")</f>
        <v/>
      </c>
      <c r="AK52" s="30">
        <f>IFERROR(IF($G52&lt;&gt;"",INDEX($V$4:$AB$4,MATCH(SMALL($V52:$AB52,2),$V52:$AB52,0)),IF($D52&lt;&gt;"",INDEX($O$4:$U$4,MATCH(SMALL($O52:$U52,2),$O52:$U52,0)),"")),"")</f>
        <v/>
      </c>
      <c r="AL52" s="30">
        <f>IF(OR(G52="",Settings!$B$17=""),"",IF(OR(ABS(G52-Settings!$B$5)&lt;=Settings!$B$17,ABS(G52-Settings!$B$6)&lt;=Settings!$B$17,ABS(G52-Settings!$B$7)&lt;=Settings!$B$17),"NEAR CUT",""))</f>
        <v/>
      </c>
      <c r="AM52" s="31">
        <f>IF('Post-Test Entry'!$AR52&lt;&gt;"","Post essay: code "&amp;'Post-Test Entry'!$AR52,IF('Pre-Test Entry'!$AR52&lt;&gt;"","Pre essay: code "&amp;'Pre-Test Entry'!$AR52,""))</f>
        <v/>
      </c>
      <c r="AN52" s="39">
        <f>IFERROR(IF($AJ52="","",INDEX(Settings!$D$28:$D$34,MATCH($AJ52,Settings!$A$28:$A$34,0))),"")</f>
        <v/>
      </c>
      <c r="AP52">
        <f>IF(D52="","",D52^2)</f>
        <v/>
      </c>
      <c r="AQ52">
        <f>IF(G52="","",G52^2)</f>
        <v/>
      </c>
    </row>
    <row r="53">
      <c r="A53" s="30">
        <f>IF(Roster!$A53="","",Roster!$A53)</f>
        <v/>
      </c>
      <c r="B53" s="31">
        <f>IF(Roster!$B53&lt;&gt;"",Roster!$C53&amp;" "&amp;Roster!$B53,"")</f>
        <v/>
      </c>
      <c r="C53" s="30">
        <f>IF(Roster!$B53&lt;&gt;"",Roster!$D53,"")</f>
        <v/>
      </c>
      <c r="D53" s="16">
        <f>IF(AND(Roster!$B53&lt;&gt;"",COUNT('Pre-Test Entry'!$C53:$AQ53)&gt;0),'Pre-Test Entry'!$AS53,"")</f>
        <v/>
      </c>
      <c r="E53" s="37">
        <f>IFERROR(D53/Settings!$B$8,"")</f>
        <v/>
      </c>
      <c r="F53" s="31">
        <f>IF(D53="","",IF(D53&gt;=Settings!$B$7,"Distinguished Learner",IF(D53&gt;=Settings!$B$6,"Proficient Learner",IF(D53&gt;=Settings!$B$5,"Developing Learner","Beginning Learner"))))</f>
        <v/>
      </c>
      <c r="G53" s="16">
        <f>IF(AND(Roster!$B53&lt;&gt;"",COUNT('Post-Test Entry'!$C53:$AQ53)&gt;0),'Post-Test Entry'!$AS53,"")</f>
        <v/>
      </c>
      <c r="H53" s="37">
        <f>IFERROR(G53/Settings!$B$8,"")</f>
        <v/>
      </c>
      <c r="I53" s="31">
        <f>IF(G53="","",IF(G53&gt;=Settings!$B$7,"Distinguished Learner",IF(G53&gt;=Settings!$B$6,"Proficient Learner",IF(G53&gt;=Settings!$B$5,"Developing Learner","Beginning Learner"))))</f>
        <v/>
      </c>
      <c r="J53" s="16">
        <f>IF(OR(D53="",G53=""),"",G53-D53)</f>
        <v/>
      </c>
      <c r="K53" s="37">
        <f>IFERROR(IF(OR(J53="",J53&lt;=0),"",(G53-D53)/(Settings!$B$8-D53)),"")</f>
        <v/>
      </c>
      <c r="L53" s="38">
        <f>IFERROR(IF(J53="","",(G53-D53)/(Settings!$B$17*SQRT(2))),"")</f>
        <v/>
      </c>
      <c r="M53" s="30">
        <f>IF(L53="","",IF(ABS(L53)&gt;=1.96,"Yes","No"))</f>
        <v/>
      </c>
      <c r="N53" s="30">
        <f>IF(J53="","",IF(J53&gt;=Settings!$B$15,"Yes","No"))</f>
        <v/>
      </c>
      <c r="O53" s="37">
        <f>IFERROR(IF($D53="","",SUMIF('Pre-Test Entry'!$C$3:$AQ$3,Settings!$A$28,'Pre-Test Entry'!$C53:$AQ53)/Settings!$C$28),"")</f>
        <v/>
      </c>
      <c r="P53" s="37">
        <f>IFERROR(IF($D53="","",SUMIF('Pre-Test Entry'!$C$3:$AQ$3,Settings!$A$29,'Pre-Test Entry'!$C53:$AQ53)/Settings!$C$29),"")</f>
        <v/>
      </c>
      <c r="Q53" s="37">
        <f>IFERROR(IF($D53="","",SUMIF('Pre-Test Entry'!$C$3:$AQ$3,Settings!$A$30,'Pre-Test Entry'!$C53:$AQ53)/Settings!$C$30),"")</f>
        <v/>
      </c>
      <c r="R53" s="37">
        <f>IFERROR(IF($D53="","",SUMIF('Pre-Test Entry'!$C$3:$AQ$3,Settings!$A$31,'Pre-Test Entry'!$C53:$AQ53)/Settings!$C$31),"")</f>
        <v/>
      </c>
      <c r="S53" s="37">
        <f>IFERROR(IF($D53="","",SUMIF('Pre-Test Entry'!$C$3:$AQ$3,Settings!$A$32,'Pre-Test Entry'!$C53:$AQ53)/Settings!$C$32),"")</f>
        <v/>
      </c>
      <c r="T53" s="37">
        <f>IFERROR(IF($D53="","",SUMIF('Pre-Test Entry'!$C$3:$AQ$3,Settings!$A$33,'Pre-Test Entry'!$C53:$AQ53)/Settings!$C$33),"")</f>
        <v/>
      </c>
      <c r="U53" s="37">
        <f>IFERROR(IF($D53="","",SUMIF('Pre-Test Entry'!$C$3:$AQ$3,Settings!$A$34,'Pre-Test Entry'!$C53:$AQ53)/Settings!$C$34),"")</f>
        <v/>
      </c>
      <c r="V53" s="37">
        <f>IFERROR(IF($G53="","",SUMIF('Post-Test Entry'!$C$3:$AQ$3,Settings!$A$28,'Post-Test Entry'!$C53:$AQ53)/Settings!$C$28),"")</f>
        <v/>
      </c>
      <c r="W53" s="37">
        <f>IFERROR(IF($G53="","",SUMIF('Post-Test Entry'!$C$3:$AQ$3,Settings!$A$29,'Post-Test Entry'!$C53:$AQ53)/Settings!$C$29),"")</f>
        <v/>
      </c>
      <c r="X53" s="37">
        <f>IFERROR(IF($G53="","",SUMIF('Post-Test Entry'!$C$3:$AQ$3,Settings!$A$30,'Post-Test Entry'!$C53:$AQ53)/Settings!$C$30),"")</f>
        <v/>
      </c>
      <c r="Y53" s="37">
        <f>IFERROR(IF($G53="","",SUMIF('Post-Test Entry'!$C$3:$AQ$3,Settings!$A$31,'Post-Test Entry'!$C53:$AQ53)/Settings!$C$31),"")</f>
        <v/>
      </c>
      <c r="Z53" s="37">
        <f>IFERROR(IF($G53="","",SUMIF('Post-Test Entry'!$C$3:$AQ$3,Settings!$A$32,'Post-Test Entry'!$C53:$AQ53)/Settings!$C$32),"")</f>
        <v/>
      </c>
      <c r="AA53" s="37">
        <f>IFERROR(IF($G53="","",SUMIF('Post-Test Entry'!$C$3:$AQ$3,Settings!$A$33,'Post-Test Entry'!$C53:$AQ53)/Settings!$C$33),"")</f>
        <v/>
      </c>
      <c r="AB53" s="37">
        <f>IFERROR(IF($G53="","",SUMIF('Post-Test Entry'!$C$3:$AQ$3,Settings!$A$34,'Post-Test Entry'!$C53:$AQ53)/Settings!$C$34),"")</f>
        <v/>
      </c>
      <c r="AC53" s="37">
        <f>IF(OR(O53="",V53=""),"",V53-O53)</f>
        <v/>
      </c>
      <c r="AD53" s="37">
        <f>IF(OR(P53="",W53=""),"",W53-P53)</f>
        <v/>
      </c>
      <c r="AE53" s="37">
        <f>IF(OR(Q53="",X53=""),"",X53-Q53)</f>
        <v/>
      </c>
      <c r="AF53" s="37">
        <f>IF(OR(R53="",Y53=""),"",Y53-R53)</f>
        <v/>
      </c>
      <c r="AG53" s="37">
        <f>IF(OR(S53="",Z53=""),"",Z53-S53)</f>
        <v/>
      </c>
      <c r="AH53" s="37">
        <f>IF(OR(T53="",AA53=""),"",AA53-T53)</f>
        <v/>
      </c>
      <c r="AI53" s="37">
        <f>IF(OR(U53="",AB53=""),"",AB53-U53)</f>
        <v/>
      </c>
      <c r="AJ53" s="30">
        <f>IFERROR(IF($G53&lt;&gt;"",INDEX($V$4:$AB$4,MATCH(MIN($V53:$AB53),$V53:$AB53,0)),IF($D53&lt;&gt;"",INDEX($O$4:$U$4,MATCH(MIN($O53:$U53),$O53:$U53,0)),"")),"")</f>
        <v/>
      </c>
      <c r="AK53" s="30">
        <f>IFERROR(IF($G53&lt;&gt;"",INDEX($V$4:$AB$4,MATCH(SMALL($V53:$AB53,2),$V53:$AB53,0)),IF($D53&lt;&gt;"",INDEX($O$4:$U$4,MATCH(SMALL($O53:$U53,2),$O53:$U53,0)),"")),"")</f>
        <v/>
      </c>
      <c r="AL53" s="30">
        <f>IF(OR(G53="",Settings!$B$17=""),"",IF(OR(ABS(G53-Settings!$B$5)&lt;=Settings!$B$17,ABS(G53-Settings!$B$6)&lt;=Settings!$B$17,ABS(G53-Settings!$B$7)&lt;=Settings!$B$17),"NEAR CUT",""))</f>
        <v/>
      </c>
      <c r="AM53" s="31">
        <f>IF('Post-Test Entry'!$AR53&lt;&gt;"","Post essay: code "&amp;'Post-Test Entry'!$AR53,IF('Pre-Test Entry'!$AR53&lt;&gt;"","Pre essay: code "&amp;'Pre-Test Entry'!$AR53,""))</f>
        <v/>
      </c>
      <c r="AN53" s="39">
        <f>IFERROR(IF($AJ53="","",INDEX(Settings!$D$28:$D$34,MATCH($AJ53,Settings!$A$28:$A$34,0))),"")</f>
        <v/>
      </c>
      <c r="AP53">
        <f>IF(D53="","",D53^2)</f>
        <v/>
      </c>
      <c r="AQ53">
        <f>IF(G53="","",G53^2)</f>
        <v/>
      </c>
    </row>
    <row r="54">
      <c r="A54" s="30">
        <f>IF(Roster!$A54="","",Roster!$A54)</f>
        <v/>
      </c>
      <c r="B54" s="31">
        <f>IF(Roster!$B54&lt;&gt;"",Roster!$C54&amp;" "&amp;Roster!$B54,"")</f>
        <v/>
      </c>
      <c r="C54" s="30">
        <f>IF(Roster!$B54&lt;&gt;"",Roster!$D54,"")</f>
        <v/>
      </c>
      <c r="D54" s="16">
        <f>IF(AND(Roster!$B54&lt;&gt;"",COUNT('Pre-Test Entry'!$C54:$AQ54)&gt;0),'Pre-Test Entry'!$AS54,"")</f>
        <v/>
      </c>
      <c r="E54" s="37">
        <f>IFERROR(D54/Settings!$B$8,"")</f>
        <v/>
      </c>
      <c r="F54" s="31">
        <f>IF(D54="","",IF(D54&gt;=Settings!$B$7,"Distinguished Learner",IF(D54&gt;=Settings!$B$6,"Proficient Learner",IF(D54&gt;=Settings!$B$5,"Developing Learner","Beginning Learner"))))</f>
        <v/>
      </c>
      <c r="G54" s="16">
        <f>IF(AND(Roster!$B54&lt;&gt;"",COUNT('Post-Test Entry'!$C54:$AQ54)&gt;0),'Post-Test Entry'!$AS54,"")</f>
        <v/>
      </c>
      <c r="H54" s="37">
        <f>IFERROR(G54/Settings!$B$8,"")</f>
        <v/>
      </c>
      <c r="I54" s="31">
        <f>IF(G54="","",IF(G54&gt;=Settings!$B$7,"Distinguished Learner",IF(G54&gt;=Settings!$B$6,"Proficient Learner",IF(G54&gt;=Settings!$B$5,"Developing Learner","Beginning Learner"))))</f>
        <v/>
      </c>
      <c r="J54" s="16">
        <f>IF(OR(D54="",G54=""),"",G54-D54)</f>
        <v/>
      </c>
      <c r="K54" s="37">
        <f>IFERROR(IF(OR(J54="",J54&lt;=0),"",(G54-D54)/(Settings!$B$8-D54)),"")</f>
        <v/>
      </c>
      <c r="L54" s="38">
        <f>IFERROR(IF(J54="","",(G54-D54)/(Settings!$B$17*SQRT(2))),"")</f>
        <v/>
      </c>
      <c r="M54" s="30">
        <f>IF(L54="","",IF(ABS(L54)&gt;=1.96,"Yes","No"))</f>
        <v/>
      </c>
      <c r="N54" s="30">
        <f>IF(J54="","",IF(J54&gt;=Settings!$B$15,"Yes","No"))</f>
        <v/>
      </c>
      <c r="O54" s="37">
        <f>IFERROR(IF($D54="","",SUMIF('Pre-Test Entry'!$C$3:$AQ$3,Settings!$A$28,'Pre-Test Entry'!$C54:$AQ54)/Settings!$C$28),"")</f>
        <v/>
      </c>
      <c r="P54" s="37">
        <f>IFERROR(IF($D54="","",SUMIF('Pre-Test Entry'!$C$3:$AQ$3,Settings!$A$29,'Pre-Test Entry'!$C54:$AQ54)/Settings!$C$29),"")</f>
        <v/>
      </c>
      <c r="Q54" s="37">
        <f>IFERROR(IF($D54="","",SUMIF('Pre-Test Entry'!$C$3:$AQ$3,Settings!$A$30,'Pre-Test Entry'!$C54:$AQ54)/Settings!$C$30),"")</f>
        <v/>
      </c>
      <c r="R54" s="37">
        <f>IFERROR(IF($D54="","",SUMIF('Pre-Test Entry'!$C$3:$AQ$3,Settings!$A$31,'Pre-Test Entry'!$C54:$AQ54)/Settings!$C$31),"")</f>
        <v/>
      </c>
      <c r="S54" s="37">
        <f>IFERROR(IF($D54="","",SUMIF('Pre-Test Entry'!$C$3:$AQ$3,Settings!$A$32,'Pre-Test Entry'!$C54:$AQ54)/Settings!$C$32),"")</f>
        <v/>
      </c>
      <c r="T54" s="37">
        <f>IFERROR(IF($D54="","",SUMIF('Pre-Test Entry'!$C$3:$AQ$3,Settings!$A$33,'Pre-Test Entry'!$C54:$AQ54)/Settings!$C$33),"")</f>
        <v/>
      </c>
      <c r="U54" s="37">
        <f>IFERROR(IF($D54="","",SUMIF('Pre-Test Entry'!$C$3:$AQ$3,Settings!$A$34,'Pre-Test Entry'!$C54:$AQ54)/Settings!$C$34),"")</f>
        <v/>
      </c>
      <c r="V54" s="37">
        <f>IFERROR(IF($G54="","",SUMIF('Post-Test Entry'!$C$3:$AQ$3,Settings!$A$28,'Post-Test Entry'!$C54:$AQ54)/Settings!$C$28),"")</f>
        <v/>
      </c>
      <c r="W54" s="37">
        <f>IFERROR(IF($G54="","",SUMIF('Post-Test Entry'!$C$3:$AQ$3,Settings!$A$29,'Post-Test Entry'!$C54:$AQ54)/Settings!$C$29),"")</f>
        <v/>
      </c>
      <c r="X54" s="37">
        <f>IFERROR(IF($G54="","",SUMIF('Post-Test Entry'!$C$3:$AQ$3,Settings!$A$30,'Post-Test Entry'!$C54:$AQ54)/Settings!$C$30),"")</f>
        <v/>
      </c>
      <c r="Y54" s="37">
        <f>IFERROR(IF($G54="","",SUMIF('Post-Test Entry'!$C$3:$AQ$3,Settings!$A$31,'Post-Test Entry'!$C54:$AQ54)/Settings!$C$31),"")</f>
        <v/>
      </c>
      <c r="Z54" s="37">
        <f>IFERROR(IF($G54="","",SUMIF('Post-Test Entry'!$C$3:$AQ$3,Settings!$A$32,'Post-Test Entry'!$C54:$AQ54)/Settings!$C$32),"")</f>
        <v/>
      </c>
      <c r="AA54" s="37">
        <f>IFERROR(IF($G54="","",SUMIF('Post-Test Entry'!$C$3:$AQ$3,Settings!$A$33,'Post-Test Entry'!$C54:$AQ54)/Settings!$C$33),"")</f>
        <v/>
      </c>
      <c r="AB54" s="37">
        <f>IFERROR(IF($G54="","",SUMIF('Post-Test Entry'!$C$3:$AQ$3,Settings!$A$34,'Post-Test Entry'!$C54:$AQ54)/Settings!$C$34),"")</f>
        <v/>
      </c>
      <c r="AC54" s="37">
        <f>IF(OR(O54="",V54=""),"",V54-O54)</f>
        <v/>
      </c>
      <c r="AD54" s="37">
        <f>IF(OR(P54="",W54=""),"",W54-P54)</f>
        <v/>
      </c>
      <c r="AE54" s="37">
        <f>IF(OR(Q54="",X54=""),"",X54-Q54)</f>
        <v/>
      </c>
      <c r="AF54" s="37">
        <f>IF(OR(R54="",Y54=""),"",Y54-R54)</f>
        <v/>
      </c>
      <c r="AG54" s="37">
        <f>IF(OR(S54="",Z54=""),"",Z54-S54)</f>
        <v/>
      </c>
      <c r="AH54" s="37">
        <f>IF(OR(T54="",AA54=""),"",AA54-T54)</f>
        <v/>
      </c>
      <c r="AI54" s="37">
        <f>IF(OR(U54="",AB54=""),"",AB54-U54)</f>
        <v/>
      </c>
      <c r="AJ54" s="30">
        <f>IFERROR(IF($G54&lt;&gt;"",INDEX($V$4:$AB$4,MATCH(MIN($V54:$AB54),$V54:$AB54,0)),IF($D54&lt;&gt;"",INDEX($O$4:$U$4,MATCH(MIN($O54:$U54),$O54:$U54,0)),"")),"")</f>
        <v/>
      </c>
      <c r="AK54" s="30">
        <f>IFERROR(IF($G54&lt;&gt;"",INDEX($V$4:$AB$4,MATCH(SMALL($V54:$AB54,2),$V54:$AB54,0)),IF($D54&lt;&gt;"",INDEX($O$4:$U$4,MATCH(SMALL($O54:$U54,2),$O54:$U54,0)),"")),"")</f>
        <v/>
      </c>
      <c r="AL54" s="30">
        <f>IF(OR(G54="",Settings!$B$17=""),"",IF(OR(ABS(G54-Settings!$B$5)&lt;=Settings!$B$17,ABS(G54-Settings!$B$6)&lt;=Settings!$B$17,ABS(G54-Settings!$B$7)&lt;=Settings!$B$17),"NEAR CUT",""))</f>
        <v/>
      </c>
      <c r="AM54" s="31">
        <f>IF('Post-Test Entry'!$AR54&lt;&gt;"","Post essay: code "&amp;'Post-Test Entry'!$AR54,IF('Pre-Test Entry'!$AR54&lt;&gt;"","Pre essay: code "&amp;'Pre-Test Entry'!$AR54,""))</f>
        <v/>
      </c>
      <c r="AN54" s="39">
        <f>IFERROR(IF($AJ54="","",INDEX(Settings!$D$28:$D$34,MATCH($AJ54,Settings!$A$28:$A$34,0))),"")</f>
        <v/>
      </c>
      <c r="AP54">
        <f>IF(D54="","",D54^2)</f>
        <v/>
      </c>
      <c r="AQ54">
        <f>IF(G54="","",G54^2)</f>
        <v/>
      </c>
    </row>
    <row r="55">
      <c r="A55" s="30">
        <f>IF(Roster!$A55="","",Roster!$A55)</f>
        <v/>
      </c>
      <c r="B55" s="31">
        <f>IF(Roster!$B55&lt;&gt;"",Roster!$C55&amp;" "&amp;Roster!$B55,"")</f>
        <v/>
      </c>
      <c r="C55" s="30">
        <f>IF(Roster!$B55&lt;&gt;"",Roster!$D55,"")</f>
        <v/>
      </c>
      <c r="D55" s="16">
        <f>IF(AND(Roster!$B55&lt;&gt;"",COUNT('Pre-Test Entry'!$C55:$AQ55)&gt;0),'Pre-Test Entry'!$AS55,"")</f>
        <v/>
      </c>
      <c r="E55" s="37">
        <f>IFERROR(D55/Settings!$B$8,"")</f>
        <v/>
      </c>
      <c r="F55" s="31">
        <f>IF(D55="","",IF(D55&gt;=Settings!$B$7,"Distinguished Learner",IF(D55&gt;=Settings!$B$6,"Proficient Learner",IF(D55&gt;=Settings!$B$5,"Developing Learner","Beginning Learner"))))</f>
        <v/>
      </c>
      <c r="G55" s="16">
        <f>IF(AND(Roster!$B55&lt;&gt;"",COUNT('Post-Test Entry'!$C55:$AQ55)&gt;0),'Post-Test Entry'!$AS55,"")</f>
        <v/>
      </c>
      <c r="H55" s="37">
        <f>IFERROR(G55/Settings!$B$8,"")</f>
        <v/>
      </c>
      <c r="I55" s="31">
        <f>IF(G55="","",IF(G55&gt;=Settings!$B$7,"Distinguished Learner",IF(G55&gt;=Settings!$B$6,"Proficient Learner",IF(G55&gt;=Settings!$B$5,"Developing Learner","Beginning Learner"))))</f>
        <v/>
      </c>
      <c r="J55" s="16">
        <f>IF(OR(D55="",G55=""),"",G55-D55)</f>
        <v/>
      </c>
      <c r="K55" s="37">
        <f>IFERROR(IF(OR(J55="",J55&lt;=0),"",(G55-D55)/(Settings!$B$8-D55)),"")</f>
        <v/>
      </c>
      <c r="L55" s="38">
        <f>IFERROR(IF(J55="","",(G55-D55)/(Settings!$B$17*SQRT(2))),"")</f>
        <v/>
      </c>
      <c r="M55" s="30">
        <f>IF(L55="","",IF(ABS(L55)&gt;=1.96,"Yes","No"))</f>
        <v/>
      </c>
      <c r="N55" s="30">
        <f>IF(J55="","",IF(J55&gt;=Settings!$B$15,"Yes","No"))</f>
        <v/>
      </c>
      <c r="O55" s="37">
        <f>IFERROR(IF($D55="","",SUMIF('Pre-Test Entry'!$C$3:$AQ$3,Settings!$A$28,'Pre-Test Entry'!$C55:$AQ55)/Settings!$C$28),"")</f>
        <v/>
      </c>
      <c r="P55" s="37">
        <f>IFERROR(IF($D55="","",SUMIF('Pre-Test Entry'!$C$3:$AQ$3,Settings!$A$29,'Pre-Test Entry'!$C55:$AQ55)/Settings!$C$29),"")</f>
        <v/>
      </c>
      <c r="Q55" s="37">
        <f>IFERROR(IF($D55="","",SUMIF('Pre-Test Entry'!$C$3:$AQ$3,Settings!$A$30,'Pre-Test Entry'!$C55:$AQ55)/Settings!$C$30),"")</f>
        <v/>
      </c>
      <c r="R55" s="37">
        <f>IFERROR(IF($D55="","",SUMIF('Pre-Test Entry'!$C$3:$AQ$3,Settings!$A$31,'Pre-Test Entry'!$C55:$AQ55)/Settings!$C$31),"")</f>
        <v/>
      </c>
      <c r="S55" s="37">
        <f>IFERROR(IF($D55="","",SUMIF('Pre-Test Entry'!$C$3:$AQ$3,Settings!$A$32,'Pre-Test Entry'!$C55:$AQ55)/Settings!$C$32),"")</f>
        <v/>
      </c>
      <c r="T55" s="37">
        <f>IFERROR(IF($D55="","",SUMIF('Pre-Test Entry'!$C$3:$AQ$3,Settings!$A$33,'Pre-Test Entry'!$C55:$AQ55)/Settings!$C$33),"")</f>
        <v/>
      </c>
      <c r="U55" s="37">
        <f>IFERROR(IF($D55="","",SUMIF('Pre-Test Entry'!$C$3:$AQ$3,Settings!$A$34,'Pre-Test Entry'!$C55:$AQ55)/Settings!$C$34),"")</f>
        <v/>
      </c>
      <c r="V55" s="37">
        <f>IFERROR(IF($G55="","",SUMIF('Post-Test Entry'!$C$3:$AQ$3,Settings!$A$28,'Post-Test Entry'!$C55:$AQ55)/Settings!$C$28),"")</f>
        <v/>
      </c>
      <c r="W55" s="37">
        <f>IFERROR(IF($G55="","",SUMIF('Post-Test Entry'!$C$3:$AQ$3,Settings!$A$29,'Post-Test Entry'!$C55:$AQ55)/Settings!$C$29),"")</f>
        <v/>
      </c>
      <c r="X55" s="37">
        <f>IFERROR(IF($G55="","",SUMIF('Post-Test Entry'!$C$3:$AQ$3,Settings!$A$30,'Post-Test Entry'!$C55:$AQ55)/Settings!$C$30),"")</f>
        <v/>
      </c>
      <c r="Y55" s="37">
        <f>IFERROR(IF($G55="","",SUMIF('Post-Test Entry'!$C$3:$AQ$3,Settings!$A$31,'Post-Test Entry'!$C55:$AQ55)/Settings!$C$31),"")</f>
        <v/>
      </c>
      <c r="Z55" s="37">
        <f>IFERROR(IF($G55="","",SUMIF('Post-Test Entry'!$C$3:$AQ$3,Settings!$A$32,'Post-Test Entry'!$C55:$AQ55)/Settings!$C$32),"")</f>
        <v/>
      </c>
      <c r="AA55" s="37">
        <f>IFERROR(IF($G55="","",SUMIF('Post-Test Entry'!$C$3:$AQ$3,Settings!$A$33,'Post-Test Entry'!$C55:$AQ55)/Settings!$C$33),"")</f>
        <v/>
      </c>
      <c r="AB55" s="37">
        <f>IFERROR(IF($G55="","",SUMIF('Post-Test Entry'!$C$3:$AQ$3,Settings!$A$34,'Post-Test Entry'!$C55:$AQ55)/Settings!$C$34),"")</f>
        <v/>
      </c>
      <c r="AC55" s="37">
        <f>IF(OR(O55="",V55=""),"",V55-O55)</f>
        <v/>
      </c>
      <c r="AD55" s="37">
        <f>IF(OR(P55="",W55=""),"",W55-P55)</f>
        <v/>
      </c>
      <c r="AE55" s="37">
        <f>IF(OR(Q55="",X55=""),"",X55-Q55)</f>
        <v/>
      </c>
      <c r="AF55" s="37">
        <f>IF(OR(R55="",Y55=""),"",Y55-R55)</f>
        <v/>
      </c>
      <c r="AG55" s="37">
        <f>IF(OR(S55="",Z55=""),"",Z55-S55)</f>
        <v/>
      </c>
      <c r="AH55" s="37">
        <f>IF(OR(T55="",AA55=""),"",AA55-T55)</f>
        <v/>
      </c>
      <c r="AI55" s="37">
        <f>IF(OR(U55="",AB55=""),"",AB55-U55)</f>
        <v/>
      </c>
      <c r="AJ55" s="30">
        <f>IFERROR(IF($G55&lt;&gt;"",INDEX($V$4:$AB$4,MATCH(MIN($V55:$AB55),$V55:$AB55,0)),IF($D55&lt;&gt;"",INDEX($O$4:$U$4,MATCH(MIN($O55:$U55),$O55:$U55,0)),"")),"")</f>
        <v/>
      </c>
      <c r="AK55" s="30">
        <f>IFERROR(IF($G55&lt;&gt;"",INDEX($V$4:$AB$4,MATCH(SMALL($V55:$AB55,2),$V55:$AB55,0)),IF($D55&lt;&gt;"",INDEX($O$4:$U$4,MATCH(SMALL($O55:$U55,2),$O55:$U55,0)),"")),"")</f>
        <v/>
      </c>
      <c r="AL55" s="30">
        <f>IF(OR(G55="",Settings!$B$17=""),"",IF(OR(ABS(G55-Settings!$B$5)&lt;=Settings!$B$17,ABS(G55-Settings!$B$6)&lt;=Settings!$B$17,ABS(G55-Settings!$B$7)&lt;=Settings!$B$17),"NEAR CUT",""))</f>
        <v/>
      </c>
      <c r="AM55" s="31">
        <f>IF('Post-Test Entry'!$AR55&lt;&gt;"","Post essay: code "&amp;'Post-Test Entry'!$AR55,IF('Pre-Test Entry'!$AR55&lt;&gt;"","Pre essay: code "&amp;'Pre-Test Entry'!$AR55,""))</f>
        <v/>
      </c>
      <c r="AN55" s="39">
        <f>IFERROR(IF($AJ55="","",INDEX(Settings!$D$28:$D$34,MATCH($AJ55,Settings!$A$28:$A$34,0))),"")</f>
        <v/>
      </c>
      <c r="AP55">
        <f>IF(D55="","",D55^2)</f>
        <v/>
      </c>
      <c r="AQ55">
        <f>IF(G55="","",G55^2)</f>
        <v/>
      </c>
    </row>
    <row r="56">
      <c r="A56" s="30">
        <f>IF(Roster!$A56="","",Roster!$A56)</f>
        <v/>
      </c>
      <c r="B56" s="31">
        <f>IF(Roster!$B56&lt;&gt;"",Roster!$C56&amp;" "&amp;Roster!$B56,"")</f>
        <v/>
      </c>
      <c r="C56" s="30">
        <f>IF(Roster!$B56&lt;&gt;"",Roster!$D56,"")</f>
        <v/>
      </c>
      <c r="D56" s="16">
        <f>IF(AND(Roster!$B56&lt;&gt;"",COUNT('Pre-Test Entry'!$C56:$AQ56)&gt;0),'Pre-Test Entry'!$AS56,"")</f>
        <v/>
      </c>
      <c r="E56" s="37">
        <f>IFERROR(D56/Settings!$B$8,"")</f>
        <v/>
      </c>
      <c r="F56" s="31">
        <f>IF(D56="","",IF(D56&gt;=Settings!$B$7,"Distinguished Learner",IF(D56&gt;=Settings!$B$6,"Proficient Learner",IF(D56&gt;=Settings!$B$5,"Developing Learner","Beginning Learner"))))</f>
        <v/>
      </c>
      <c r="G56" s="16">
        <f>IF(AND(Roster!$B56&lt;&gt;"",COUNT('Post-Test Entry'!$C56:$AQ56)&gt;0),'Post-Test Entry'!$AS56,"")</f>
        <v/>
      </c>
      <c r="H56" s="37">
        <f>IFERROR(G56/Settings!$B$8,"")</f>
        <v/>
      </c>
      <c r="I56" s="31">
        <f>IF(G56="","",IF(G56&gt;=Settings!$B$7,"Distinguished Learner",IF(G56&gt;=Settings!$B$6,"Proficient Learner",IF(G56&gt;=Settings!$B$5,"Developing Learner","Beginning Learner"))))</f>
        <v/>
      </c>
      <c r="J56" s="16">
        <f>IF(OR(D56="",G56=""),"",G56-D56)</f>
        <v/>
      </c>
      <c r="K56" s="37">
        <f>IFERROR(IF(OR(J56="",J56&lt;=0),"",(G56-D56)/(Settings!$B$8-D56)),"")</f>
        <v/>
      </c>
      <c r="L56" s="38">
        <f>IFERROR(IF(J56="","",(G56-D56)/(Settings!$B$17*SQRT(2))),"")</f>
        <v/>
      </c>
      <c r="M56" s="30">
        <f>IF(L56="","",IF(ABS(L56)&gt;=1.96,"Yes","No"))</f>
        <v/>
      </c>
      <c r="N56" s="30">
        <f>IF(J56="","",IF(J56&gt;=Settings!$B$15,"Yes","No"))</f>
        <v/>
      </c>
      <c r="O56" s="37">
        <f>IFERROR(IF($D56="","",SUMIF('Pre-Test Entry'!$C$3:$AQ$3,Settings!$A$28,'Pre-Test Entry'!$C56:$AQ56)/Settings!$C$28),"")</f>
        <v/>
      </c>
      <c r="P56" s="37">
        <f>IFERROR(IF($D56="","",SUMIF('Pre-Test Entry'!$C$3:$AQ$3,Settings!$A$29,'Pre-Test Entry'!$C56:$AQ56)/Settings!$C$29),"")</f>
        <v/>
      </c>
      <c r="Q56" s="37">
        <f>IFERROR(IF($D56="","",SUMIF('Pre-Test Entry'!$C$3:$AQ$3,Settings!$A$30,'Pre-Test Entry'!$C56:$AQ56)/Settings!$C$30),"")</f>
        <v/>
      </c>
      <c r="R56" s="37">
        <f>IFERROR(IF($D56="","",SUMIF('Pre-Test Entry'!$C$3:$AQ$3,Settings!$A$31,'Pre-Test Entry'!$C56:$AQ56)/Settings!$C$31),"")</f>
        <v/>
      </c>
      <c r="S56" s="37">
        <f>IFERROR(IF($D56="","",SUMIF('Pre-Test Entry'!$C$3:$AQ$3,Settings!$A$32,'Pre-Test Entry'!$C56:$AQ56)/Settings!$C$32),"")</f>
        <v/>
      </c>
      <c r="T56" s="37">
        <f>IFERROR(IF($D56="","",SUMIF('Pre-Test Entry'!$C$3:$AQ$3,Settings!$A$33,'Pre-Test Entry'!$C56:$AQ56)/Settings!$C$33),"")</f>
        <v/>
      </c>
      <c r="U56" s="37">
        <f>IFERROR(IF($D56="","",SUMIF('Pre-Test Entry'!$C$3:$AQ$3,Settings!$A$34,'Pre-Test Entry'!$C56:$AQ56)/Settings!$C$34),"")</f>
        <v/>
      </c>
      <c r="V56" s="37">
        <f>IFERROR(IF($G56="","",SUMIF('Post-Test Entry'!$C$3:$AQ$3,Settings!$A$28,'Post-Test Entry'!$C56:$AQ56)/Settings!$C$28),"")</f>
        <v/>
      </c>
      <c r="W56" s="37">
        <f>IFERROR(IF($G56="","",SUMIF('Post-Test Entry'!$C$3:$AQ$3,Settings!$A$29,'Post-Test Entry'!$C56:$AQ56)/Settings!$C$29),"")</f>
        <v/>
      </c>
      <c r="X56" s="37">
        <f>IFERROR(IF($G56="","",SUMIF('Post-Test Entry'!$C$3:$AQ$3,Settings!$A$30,'Post-Test Entry'!$C56:$AQ56)/Settings!$C$30),"")</f>
        <v/>
      </c>
      <c r="Y56" s="37">
        <f>IFERROR(IF($G56="","",SUMIF('Post-Test Entry'!$C$3:$AQ$3,Settings!$A$31,'Post-Test Entry'!$C56:$AQ56)/Settings!$C$31),"")</f>
        <v/>
      </c>
      <c r="Z56" s="37">
        <f>IFERROR(IF($G56="","",SUMIF('Post-Test Entry'!$C$3:$AQ$3,Settings!$A$32,'Post-Test Entry'!$C56:$AQ56)/Settings!$C$32),"")</f>
        <v/>
      </c>
      <c r="AA56" s="37">
        <f>IFERROR(IF($G56="","",SUMIF('Post-Test Entry'!$C$3:$AQ$3,Settings!$A$33,'Post-Test Entry'!$C56:$AQ56)/Settings!$C$33),"")</f>
        <v/>
      </c>
      <c r="AB56" s="37">
        <f>IFERROR(IF($G56="","",SUMIF('Post-Test Entry'!$C$3:$AQ$3,Settings!$A$34,'Post-Test Entry'!$C56:$AQ56)/Settings!$C$34),"")</f>
        <v/>
      </c>
      <c r="AC56" s="37">
        <f>IF(OR(O56="",V56=""),"",V56-O56)</f>
        <v/>
      </c>
      <c r="AD56" s="37">
        <f>IF(OR(P56="",W56=""),"",W56-P56)</f>
        <v/>
      </c>
      <c r="AE56" s="37">
        <f>IF(OR(Q56="",X56=""),"",X56-Q56)</f>
        <v/>
      </c>
      <c r="AF56" s="37">
        <f>IF(OR(R56="",Y56=""),"",Y56-R56)</f>
        <v/>
      </c>
      <c r="AG56" s="37">
        <f>IF(OR(S56="",Z56=""),"",Z56-S56)</f>
        <v/>
      </c>
      <c r="AH56" s="37">
        <f>IF(OR(T56="",AA56=""),"",AA56-T56)</f>
        <v/>
      </c>
      <c r="AI56" s="37">
        <f>IF(OR(U56="",AB56=""),"",AB56-U56)</f>
        <v/>
      </c>
      <c r="AJ56" s="30">
        <f>IFERROR(IF($G56&lt;&gt;"",INDEX($V$4:$AB$4,MATCH(MIN($V56:$AB56),$V56:$AB56,0)),IF($D56&lt;&gt;"",INDEX($O$4:$U$4,MATCH(MIN($O56:$U56),$O56:$U56,0)),"")),"")</f>
        <v/>
      </c>
      <c r="AK56" s="30">
        <f>IFERROR(IF($G56&lt;&gt;"",INDEX($V$4:$AB$4,MATCH(SMALL($V56:$AB56,2),$V56:$AB56,0)),IF($D56&lt;&gt;"",INDEX($O$4:$U$4,MATCH(SMALL($O56:$U56,2),$O56:$U56,0)),"")),"")</f>
        <v/>
      </c>
      <c r="AL56" s="30">
        <f>IF(OR(G56="",Settings!$B$17=""),"",IF(OR(ABS(G56-Settings!$B$5)&lt;=Settings!$B$17,ABS(G56-Settings!$B$6)&lt;=Settings!$B$17,ABS(G56-Settings!$B$7)&lt;=Settings!$B$17),"NEAR CUT",""))</f>
        <v/>
      </c>
      <c r="AM56" s="31">
        <f>IF('Post-Test Entry'!$AR56&lt;&gt;"","Post essay: code "&amp;'Post-Test Entry'!$AR56,IF('Pre-Test Entry'!$AR56&lt;&gt;"","Pre essay: code "&amp;'Pre-Test Entry'!$AR56,""))</f>
        <v/>
      </c>
      <c r="AN56" s="39">
        <f>IFERROR(IF($AJ56="","",INDEX(Settings!$D$28:$D$34,MATCH($AJ56,Settings!$A$28:$A$34,0))),"")</f>
        <v/>
      </c>
      <c r="AP56">
        <f>IF(D56="","",D56^2)</f>
        <v/>
      </c>
      <c r="AQ56">
        <f>IF(G56="","",G56^2)</f>
        <v/>
      </c>
    </row>
    <row r="57">
      <c r="A57" s="30">
        <f>IF(Roster!$A57="","",Roster!$A57)</f>
        <v/>
      </c>
      <c r="B57" s="31">
        <f>IF(Roster!$B57&lt;&gt;"",Roster!$C57&amp;" "&amp;Roster!$B57,"")</f>
        <v/>
      </c>
      <c r="C57" s="30">
        <f>IF(Roster!$B57&lt;&gt;"",Roster!$D57,"")</f>
        <v/>
      </c>
      <c r="D57" s="16">
        <f>IF(AND(Roster!$B57&lt;&gt;"",COUNT('Pre-Test Entry'!$C57:$AQ57)&gt;0),'Pre-Test Entry'!$AS57,"")</f>
        <v/>
      </c>
      <c r="E57" s="37">
        <f>IFERROR(D57/Settings!$B$8,"")</f>
        <v/>
      </c>
      <c r="F57" s="31">
        <f>IF(D57="","",IF(D57&gt;=Settings!$B$7,"Distinguished Learner",IF(D57&gt;=Settings!$B$6,"Proficient Learner",IF(D57&gt;=Settings!$B$5,"Developing Learner","Beginning Learner"))))</f>
        <v/>
      </c>
      <c r="G57" s="16">
        <f>IF(AND(Roster!$B57&lt;&gt;"",COUNT('Post-Test Entry'!$C57:$AQ57)&gt;0),'Post-Test Entry'!$AS57,"")</f>
        <v/>
      </c>
      <c r="H57" s="37">
        <f>IFERROR(G57/Settings!$B$8,"")</f>
        <v/>
      </c>
      <c r="I57" s="31">
        <f>IF(G57="","",IF(G57&gt;=Settings!$B$7,"Distinguished Learner",IF(G57&gt;=Settings!$B$6,"Proficient Learner",IF(G57&gt;=Settings!$B$5,"Developing Learner","Beginning Learner"))))</f>
        <v/>
      </c>
      <c r="J57" s="16">
        <f>IF(OR(D57="",G57=""),"",G57-D57)</f>
        <v/>
      </c>
      <c r="K57" s="37">
        <f>IFERROR(IF(OR(J57="",J57&lt;=0),"",(G57-D57)/(Settings!$B$8-D57)),"")</f>
        <v/>
      </c>
      <c r="L57" s="38">
        <f>IFERROR(IF(J57="","",(G57-D57)/(Settings!$B$17*SQRT(2))),"")</f>
        <v/>
      </c>
      <c r="M57" s="30">
        <f>IF(L57="","",IF(ABS(L57)&gt;=1.96,"Yes","No"))</f>
        <v/>
      </c>
      <c r="N57" s="30">
        <f>IF(J57="","",IF(J57&gt;=Settings!$B$15,"Yes","No"))</f>
        <v/>
      </c>
      <c r="O57" s="37">
        <f>IFERROR(IF($D57="","",SUMIF('Pre-Test Entry'!$C$3:$AQ$3,Settings!$A$28,'Pre-Test Entry'!$C57:$AQ57)/Settings!$C$28),"")</f>
        <v/>
      </c>
      <c r="P57" s="37">
        <f>IFERROR(IF($D57="","",SUMIF('Pre-Test Entry'!$C$3:$AQ$3,Settings!$A$29,'Pre-Test Entry'!$C57:$AQ57)/Settings!$C$29),"")</f>
        <v/>
      </c>
      <c r="Q57" s="37">
        <f>IFERROR(IF($D57="","",SUMIF('Pre-Test Entry'!$C$3:$AQ$3,Settings!$A$30,'Pre-Test Entry'!$C57:$AQ57)/Settings!$C$30),"")</f>
        <v/>
      </c>
      <c r="R57" s="37">
        <f>IFERROR(IF($D57="","",SUMIF('Pre-Test Entry'!$C$3:$AQ$3,Settings!$A$31,'Pre-Test Entry'!$C57:$AQ57)/Settings!$C$31),"")</f>
        <v/>
      </c>
      <c r="S57" s="37">
        <f>IFERROR(IF($D57="","",SUMIF('Pre-Test Entry'!$C$3:$AQ$3,Settings!$A$32,'Pre-Test Entry'!$C57:$AQ57)/Settings!$C$32),"")</f>
        <v/>
      </c>
      <c r="T57" s="37">
        <f>IFERROR(IF($D57="","",SUMIF('Pre-Test Entry'!$C$3:$AQ$3,Settings!$A$33,'Pre-Test Entry'!$C57:$AQ57)/Settings!$C$33),"")</f>
        <v/>
      </c>
      <c r="U57" s="37">
        <f>IFERROR(IF($D57="","",SUMIF('Pre-Test Entry'!$C$3:$AQ$3,Settings!$A$34,'Pre-Test Entry'!$C57:$AQ57)/Settings!$C$34),"")</f>
        <v/>
      </c>
      <c r="V57" s="37">
        <f>IFERROR(IF($G57="","",SUMIF('Post-Test Entry'!$C$3:$AQ$3,Settings!$A$28,'Post-Test Entry'!$C57:$AQ57)/Settings!$C$28),"")</f>
        <v/>
      </c>
      <c r="W57" s="37">
        <f>IFERROR(IF($G57="","",SUMIF('Post-Test Entry'!$C$3:$AQ$3,Settings!$A$29,'Post-Test Entry'!$C57:$AQ57)/Settings!$C$29),"")</f>
        <v/>
      </c>
      <c r="X57" s="37">
        <f>IFERROR(IF($G57="","",SUMIF('Post-Test Entry'!$C$3:$AQ$3,Settings!$A$30,'Post-Test Entry'!$C57:$AQ57)/Settings!$C$30),"")</f>
        <v/>
      </c>
      <c r="Y57" s="37">
        <f>IFERROR(IF($G57="","",SUMIF('Post-Test Entry'!$C$3:$AQ$3,Settings!$A$31,'Post-Test Entry'!$C57:$AQ57)/Settings!$C$31),"")</f>
        <v/>
      </c>
      <c r="Z57" s="37">
        <f>IFERROR(IF($G57="","",SUMIF('Post-Test Entry'!$C$3:$AQ$3,Settings!$A$32,'Post-Test Entry'!$C57:$AQ57)/Settings!$C$32),"")</f>
        <v/>
      </c>
      <c r="AA57" s="37">
        <f>IFERROR(IF($G57="","",SUMIF('Post-Test Entry'!$C$3:$AQ$3,Settings!$A$33,'Post-Test Entry'!$C57:$AQ57)/Settings!$C$33),"")</f>
        <v/>
      </c>
      <c r="AB57" s="37">
        <f>IFERROR(IF($G57="","",SUMIF('Post-Test Entry'!$C$3:$AQ$3,Settings!$A$34,'Post-Test Entry'!$C57:$AQ57)/Settings!$C$34),"")</f>
        <v/>
      </c>
      <c r="AC57" s="37">
        <f>IF(OR(O57="",V57=""),"",V57-O57)</f>
        <v/>
      </c>
      <c r="AD57" s="37">
        <f>IF(OR(P57="",W57=""),"",W57-P57)</f>
        <v/>
      </c>
      <c r="AE57" s="37">
        <f>IF(OR(Q57="",X57=""),"",X57-Q57)</f>
        <v/>
      </c>
      <c r="AF57" s="37">
        <f>IF(OR(R57="",Y57=""),"",Y57-R57)</f>
        <v/>
      </c>
      <c r="AG57" s="37">
        <f>IF(OR(S57="",Z57=""),"",Z57-S57)</f>
        <v/>
      </c>
      <c r="AH57" s="37">
        <f>IF(OR(T57="",AA57=""),"",AA57-T57)</f>
        <v/>
      </c>
      <c r="AI57" s="37">
        <f>IF(OR(U57="",AB57=""),"",AB57-U57)</f>
        <v/>
      </c>
      <c r="AJ57" s="30">
        <f>IFERROR(IF($G57&lt;&gt;"",INDEX($V$4:$AB$4,MATCH(MIN($V57:$AB57),$V57:$AB57,0)),IF($D57&lt;&gt;"",INDEX($O$4:$U$4,MATCH(MIN($O57:$U57),$O57:$U57,0)),"")),"")</f>
        <v/>
      </c>
      <c r="AK57" s="30">
        <f>IFERROR(IF($G57&lt;&gt;"",INDEX($V$4:$AB$4,MATCH(SMALL($V57:$AB57,2),$V57:$AB57,0)),IF($D57&lt;&gt;"",INDEX($O$4:$U$4,MATCH(SMALL($O57:$U57,2),$O57:$U57,0)),"")),"")</f>
        <v/>
      </c>
      <c r="AL57" s="30">
        <f>IF(OR(G57="",Settings!$B$17=""),"",IF(OR(ABS(G57-Settings!$B$5)&lt;=Settings!$B$17,ABS(G57-Settings!$B$6)&lt;=Settings!$B$17,ABS(G57-Settings!$B$7)&lt;=Settings!$B$17),"NEAR CUT",""))</f>
        <v/>
      </c>
      <c r="AM57" s="31">
        <f>IF('Post-Test Entry'!$AR57&lt;&gt;"","Post essay: code "&amp;'Post-Test Entry'!$AR57,IF('Pre-Test Entry'!$AR57&lt;&gt;"","Pre essay: code "&amp;'Pre-Test Entry'!$AR57,""))</f>
        <v/>
      </c>
      <c r="AN57" s="39">
        <f>IFERROR(IF($AJ57="","",INDEX(Settings!$D$28:$D$34,MATCH($AJ57,Settings!$A$28:$A$34,0))),"")</f>
        <v/>
      </c>
      <c r="AP57">
        <f>IF(D57="","",D57^2)</f>
        <v/>
      </c>
      <c r="AQ57">
        <f>IF(G57="","",G57^2)</f>
        <v/>
      </c>
    </row>
    <row r="58">
      <c r="A58" s="30">
        <f>IF(Roster!$A58="","",Roster!$A58)</f>
        <v/>
      </c>
      <c r="B58" s="31">
        <f>IF(Roster!$B58&lt;&gt;"",Roster!$C58&amp;" "&amp;Roster!$B58,"")</f>
        <v/>
      </c>
      <c r="C58" s="30">
        <f>IF(Roster!$B58&lt;&gt;"",Roster!$D58,"")</f>
        <v/>
      </c>
      <c r="D58" s="16">
        <f>IF(AND(Roster!$B58&lt;&gt;"",COUNT('Pre-Test Entry'!$C58:$AQ58)&gt;0),'Pre-Test Entry'!$AS58,"")</f>
        <v/>
      </c>
      <c r="E58" s="37">
        <f>IFERROR(D58/Settings!$B$8,"")</f>
        <v/>
      </c>
      <c r="F58" s="31">
        <f>IF(D58="","",IF(D58&gt;=Settings!$B$7,"Distinguished Learner",IF(D58&gt;=Settings!$B$6,"Proficient Learner",IF(D58&gt;=Settings!$B$5,"Developing Learner","Beginning Learner"))))</f>
        <v/>
      </c>
      <c r="G58" s="16">
        <f>IF(AND(Roster!$B58&lt;&gt;"",COUNT('Post-Test Entry'!$C58:$AQ58)&gt;0),'Post-Test Entry'!$AS58,"")</f>
        <v/>
      </c>
      <c r="H58" s="37">
        <f>IFERROR(G58/Settings!$B$8,"")</f>
        <v/>
      </c>
      <c r="I58" s="31">
        <f>IF(G58="","",IF(G58&gt;=Settings!$B$7,"Distinguished Learner",IF(G58&gt;=Settings!$B$6,"Proficient Learner",IF(G58&gt;=Settings!$B$5,"Developing Learner","Beginning Learner"))))</f>
        <v/>
      </c>
      <c r="J58" s="16">
        <f>IF(OR(D58="",G58=""),"",G58-D58)</f>
        <v/>
      </c>
      <c r="K58" s="37">
        <f>IFERROR(IF(OR(J58="",J58&lt;=0),"",(G58-D58)/(Settings!$B$8-D58)),"")</f>
        <v/>
      </c>
      <c r="L58" s="38">
        <f>IFERROR(IF(J58="","",(G58-D58)/(Settings!$B$17*SQRT(2))),"")</f>
        <v/>
      </c>
      <c r="M58" s="30">
        <f>IF(L58="","",IF(ABS(L58)&gt;=1.96,"Yes","No"))</f>
        <v/>
      </c>
      <c r="N58" s="30">
        <f>IF(J58="","",IF(J58&gt;=Settings!$B$15,"Yes","No"))</f>
        <v/>
      </c>
      <c r="O58" s="37">
        <f>IFERROR(IF($D58="","",SUMIF('Pre-Test Entry'!$C$3:$AQ$3,Settings!$A$28,'Pre-Test Entry'!$C58:$AQ58)/Settings!$C$28),"")</f>
        <v/>
      </c>
      <c r="P58" s="37">
        <f>IFERROR(IF($D58="","",SUMIF('Pre-Test Entry'!$C$3:$AQ$3,Settings!$A$29,'Pre-Test Entry'!$C58:$AQ58)/Settings!$C$29),"")</f>
        <v/>
      </c>
      <c r="Q58" s="37">
        <f>IFERROR(IF($D58="","",SUMIF('Pre-Test Entry'!$C$3:$AQ$3,Settings!$A$30,'Pre-Test Entry'!$C58:$AQ58)/Settings!$C$30),"")</f>
        <v/>
      </c>
      <c r="R58" s="37">
        <f>IFERROR(IF($D58="","",SUMIF('Pre-Test Entry'!$C$3:$AQ$3,Settings!$A$31,'Pre-Test Entry'!$C58:$AQ58)/Settings!$C$31),"")</f>
        <v/>
      </c>
      <c r="S58" s="37">
        <f>IFERROR(IF($D58="","",SUMIF('Pre-Test Entry'!$C$3:$AQ$3,Settings!$A$32,'Pre-Test Entry'!$C58:$AQ58)/Settings!$C$32),"")</f>
        <v/>
      </c>
      <c r="T58" s="37">
        <f>IFERROR(IF($D58="","",SUMIF('Pre-Test Entry'!$C$3:$AQ$3,Settings!$A$33,'Pre-Test Entry'!$C58:$AQ58)/Settings!$C$33),"")</f>
        <v/>
      </c>
      <c r="U58" s="37">
        <f>IFERROR(IF($D58="","",SUMIF('Pre-Test Entry'!$C$3:$AQ$3,Settings!$A$34,'Pre-Test Entry'!$C58:$AQ58)/Settings!$C$34),"")</f>
        <v/>
      </c>
      <c r="V58" s="37">
        <f>IFERROR(IF($G58="","",SUMIF('Post-Test Entry'!$C$3:$AQ$3,Settings!$A$28,'Post-Test Entry'!$C58:$AQ58)/Settings!$C$28),"")</f>
        <v/>
      </c>
      <c r="W58" s="37">
        <f>IFERROR(IF($G58="","",SUMIF('Post-Test Entry'!$C$3:$AQ$3,Settings!$A$29,'Post-Test Entry'!$C58:$AQ58)/Settings!$C$29),"")</f>
        <v/>
      </c>
      <c r="X58" s="37">
        <f>IFERROR(IF($G58="","",SUMIF('Post-Test Entry'!$C$3:$AQ$3,Settings!$A$30,'Post-Test Entry'!$C58:$AQ58)/Settings!$C$30),"")</f>
        <v/>
      </c>
      <c r="Y58" s="37">
        <f>IFERROR(IF($G58="","",SUMIF('Post-Test Entry'!$C$3:$AQ$3,Settings!$A$31,'Post-Test Entry'!$C58:$AQ58)/Settings!$C$31),"")</f>
        <v/>
      </c>
      <c r="Z58" s="37">
        <f>IFERROR(IF($G58="","",SUMIF('Post-Test Entry'!$C$3:$AQ$3,Settings!$A$32,'Post-Test Entry'!$C58:$AQ58)/Settings!$C$32),"")</f>
        <v/>
      </c>
      <c r="AA58" s="37">
        <f>IFERROR(IF($G58="","",SUMIF('Post-Test Entry'!$C$3:$AQ$3,Settings!$A$33,'Post-Test Entry'!$C58:$AQ58)/Settings!$C$33),"")</f>
        <v/>
      </c>
      <c r="AB58" s="37">
        <f>IFERROR(IF($G58="","",SUMIF('Post-Test Entry'!$C$3:$AQ$3,Settings!$A$34,'Post-Test Entry'!$C58:$AQ58)/Settings!$C$34),"")</f>
        <v/>
      </c>
      <c r="AC58" s="37">
        <f>IF(OR(O58="",V58=""),"",V58-O58)</f>
        <v/>
      </c>
      <c r="AD58" s="37">
        <f>IF(OR(P58="",W58=""),"",W58-P58)</f>
        <v/>
      </c>
      <c r="AE58" s="37">
        <f>IF(OR(Q58="",X58=""),"",X58-Q58)</f>
        <v/>
      </c>
      <c r="AF58" s="37">
        <f>IF(OR(R58="",Y58=""),"",Y58-R58)</f>
        <v/>
      </c>
      <c r="AG58" s="37">
        <f>IF(OR(S58="",Z58=""),"",Z58-S58)</f>
        <v/>
      </c>
      <c r="AH58" s="37">
        <f>IF(OR(T58="",AA58=""),"",AA58-T58)</f>
        <v/>
      </c>
      <c r="AI58" s="37">
        <f>IF(OR(U58="",AB58=""),"",AB58-U58)</f>
        <v/>
      </c>
      <c r="AJ58" s="30">
        <f>IFERROR(IF($G58&lt;&gt;"",INDEX($V$4:$AB$4,MATCH(MIN($V58:$AB58),$V58:$AB58,0)),IF($D58&lt;&gt;"",INDEX($O$4:$U$4,MATCH(MIN($O58:$U58),$O58:$U58,0)),"")),"")</f>
        <v/>
      </c>
      <c r="AK58" s="30">
        <f>IFERROR(IF($G58&lt;&gt;"",INDEX($V$4:$AB$4,MATCH(SMALL($V58:$AB58,2),$V58:$AB58,0)),IF($D58&lt;&gt;"",INDEX($O$4:$U$4,MATCH(SMALL($O58:$U58,2),$O58:$U58,0)),"")),"")</f>
        <v/>
      </c>
      <c r="AL58" s="30">
        <f>IF(OR(G58="",Settings!$B$17=""),"",IF(OR(ABS(G58-Settings!$B$5)&lt;=Settings!$B$17,ABS(G58-Settings!$B$6)&lt;=Settings!$B$17,ABS(G58-Settings!$B$7)&lt;=Settings!$B$17),"NEAR CUT",""))</f>
        <v/>
      </c>
      <c r="AM58" s="31">
        <f>IF('Post-Test Entry'!$AR58&lt;&gt;"","Post essay: code "&amp;'Post-Test Entry'!$AR58,IF('Pre-Test Entry'!$AR58&lt;&gt;"","Pre essay: code "&amp;'Pre-Test Entry'!$AR58,""))</f>
        <v/>
      </c>
      <c r="AN58" s="39">
        <f>IFERROR(IF($AJ58="","",INDEX(Settings!$D$28:$D$34,MATCH($AJ58,Settings!$A$28:$A$34,0))),"")</f>
        <v/>
      </c>
      <c r="AP58">
        <f>IF(D58="","",D58^2)</f>
        <v/>
      </c>
      <c r="AQ58">
        <f>IF(G58="","",G58^2)</f>
        <v/>
      </c>
    </row>
    <row r="59">
      <c r="A59" s="30">
        <f>IF(Roster!$A59="","",Roster!$A59)</f>
        <v/>
      </c>
      <c r="B59" s="31">
        <f>IF(Roster!$B59&lt;&gt;"",Roster!$C59&amp;" "&amp;Roster!$B59,"")</f>
        <v/>
      </c>
      <c r="C59" s="30">
        <f>IF(Roster!$B59&lt;&gt;"",Roster!$D59,"")</f>
        <v/>
      </c>
      <c r="D59" s="16">
        <f>IF(AND(Roster!$B59&lt;&gt;"",COUNT('Pre-Test Entry'!$C59:$AQ59)&gt;0),'Pre-Test Entry'!$AS59,"")</f>
        <v/>
      </c>
      <c r="E59" s="37">
        <f>IFERROR(D59/Settings!$B$8,"")</f>
        <v/>
      </c>
      <c r="F59" s="31">
        <f>IF(D59="","",IF(D59&gt;=Settings!$B$7,"Distinguished Learner",IF(D59&gt;=Settings!$B$6,"Proficient Learner",IF(D59&gt;=Settings!$B$5,"Developing Learner","Beginning Learner"))))</f>
        <v/>
      </c>
      <c r="G59" s="16">
        <f>IF(AND(Roster!$B59&lt;&gt;"",COUNT('Post-Test Entry'!$C59:$AQ59)&gt;0),'Post-Test Entry'!$AS59,"")</f>
        <v/>
      </c>
      <c r="H59" s="37">
        <f>IFERROR(G59/Settings!$B$8,"")</f>
        <v/>
      </c>
      <c r="I59" s="31">
        <f>IF(G59="","",IF(G59&gt;=Settings!$B$7,"Distinguished Learner",IF(G59&gt;=Settings!$B$6,"Proficient Learner",IF(G59&gt;=Settings!$B$5,"Developing Learner","Beginning Learner"))))</f>
        <v/>
      </c>
      <c r="J59" s="16">
        <f>IF(OR(D59="",G59=""),"",G59-D59)</f>
        <v/>
      </c>
      <c r="K59" s="37">
        <f>IFERROR(IF(OR(J59="",J59&lt;=0),"",(G59-D59)/(Settings!$B$8-D59)),"")</f>
        <v/>
      </c>
      <c r="L59" s="38">
        <f>IFERROR(IF(J59="","",(G59-D59)/(Settings!$B$17*SQRT(2))),"")</f>
        <v/>
      </c>
      <c r="M59" s="30">
        <f>IF(L59="","",IF(ABS(L59)&gt;=1.96,"Yes","No"))</f>
        <v/>
      </c>
      <c r="N59" s="30">
        <f>IF(J59="","",IF(J59&gt;=Settings!$B$15,"Yes","No"))</f>
        <v/>
      </c>
      <c r="O59" s="37">
        <f>IFERROR(IF($D59="","",SUMIF('Pre-Test Entry'!$C$3:$AQ$3,Settings!$A$28,'Pre-Test Entry'!$C59:$AQ59)/Settings!$C$28),"")</f>
        <v/>
      </c>
      <c r="P59" s="37">
        <f>IFERROR(IF($D59="","",SUMIF('Pre-Test Entry'!$C$3:$AQ$3,Settings!$A$29,'Pre-Test Entry'!$C59:$AQ59)/Settings!$C$29),"")</f>
        <v/>
      </c>
      <c r="Q59" s="37">
        <f>IFERROR(IF($D59="","",SUMIF('Pre-Test Entry'!$C$3:$AQ$3,Settings!$A$30,'Pre-Test Entry'!$C59:$AQ59)/Settings!$C$30),"")</f>
        <v/>
      </c>
      <c r="R59" s="37">
        <f>IFERROR(IF($D59="","",SUMIF('Pre-Test Entry'!$C$3:$AQ$3,Settings!$A$31,'Pre-Test Entry'!$C59:$AQ59)/Settings!$C$31),"")</f>
        <v/>
      </c>
      <c r="S59" s="37">
        <f>IFERROR(IF($D59="","",SUMIF('Pre-Test Entry'!$C$3:$AQ$3,Settings!$A$32,'Pre-Test Entry'!$C59:$AQ59)/Settings!$C$32),"")</f>
        <v/>
      </c>
      <c r="T59" s="37">
        <f>IFERROR(IF($D59="","",SUMIF('Pre-Test Entry'!$C$3:$AQ$3,Settings!$A$33,'Pre-Test Entry'!$C59:$AQ59)/Settings!$C$33),"")</f>
        <v/>
      </c>
      <c r="U59" s="37">
        <f>IFERROR(IF($D59="","",SUMIF('Pre-Test Entry'!$C$3:$AQ$3,Settings!$A$34,'Pre-Test Entry'!$C59:$AQ59)/Settings!$C$34),"")</f>
        <v/>
      </c>
      <c r="V59" s="37">
        <f>IFERROR(IF($G59="","",SUMIF('Post-Test Entry'!$C$3:$AQ$3,Settings!$A$28,'Post-Test Entry'!$C59:$AQ59)/Settings!$C$28),"")</f>
        <v/>
      </c>
      <c r="W59" s="37">
        <f>IFERROR(IF($G59="","",SUMIF('Post-Test Entry'!$C$3:$AQ$3,Settings!$A$29,'Post-Test Entry'!$C59:$AQ59)/Settings!$C$29),"")</f>
        <v/>
      </c>
      <c r="X59" s="37">
        <f>IFERROR(IF($G59="","",SUMIF('Post-Test Entry'!$C$3:$AQ$3,Settings!$A$30,'Post-Test Entry'!$C59:$AQ59)/Settings!$C$30),"")</f>
        <v/>
      </c>
      <c r="Y59" s="37">
        <f>IFERROR(IF($G59="","",SUMIF('Post-Test Entry'!$C$3:$AQ$3,Settings!$A$31,'Post-Test Entry'!$C59:$AQ59)/Settings!$C$31),"")</f>
        <v/>
      </c>
      <c r="Z59" s="37">
        <f>IFERROR(IF($G59="","",SUMIF('Post-Test Entry'!$C$3:$AQ$3,Settings!$A$32,'Post-Test Entry'!$C59:$AQ59)/Settings!$C$32),"")</f>
        <v/>
      </c>
      <c r="AA59" s="37">
        <f>IFERROR(IF($G59="","",SUMIF('Post-Test Entry'!$C$3:$AQ$3,Settings!$A$33,'Post-Test Entry'!$C59:$AQ59)/Settings!$C$33),"")</f>
        <v/>
      </c>
      <c r="AB59" s="37">
        <f>IFERROR(IF($G59="","",SUMIF('Post-Test Entry'!$C$3:$AQ$3,Settings!$A$34,'Post-Test Entry'!$C59:$AQ59)/Settings!$C$34),"")</f>
        <v/>
      </c>
      <c r="AC59" s="37">
        <f>IF(OR(O59="",V59=""),"",V59-O59)</f>
        <v/>
      </c>
      <c r="AD59" s="37">
        <f>IF(OR(P59="",W59=""),"",W59-P59)</f>
        <v/>
      </c>
      <c r="AE59" s="37">
        <f>IF(OR(Q59="",X59=""),"",X59-Q59)</f>
        <v/>
      </c>
      <c r="AF59" s="37">
        <f>IF(OR(R59="",Y59=""),"",Y59-R59)</f>
        <v/>
      </c>
      <c r="AG59" s="37">
        <f>IF(OR(S59="",Z59=""),"",Z59-S59)</f>
        <v/>
      </c>
      <c r="AH59" s="37">
        <f>IF(OR(T59="",AA59=""),"",AA59-T59)</f>
        <v/>
      </c>
      <c r="AI59" s="37">
        <f>IF(OR(U59="",AB59=""),"",AB59-U59)</f>
        <v/>
      </c>
      <c r="AJ59" s="30">
        <f>IFERROR(IF($G59&lt;&gt;"",INDEX($V$4:$AB$4,MATCH(MIN($V59:$AB59),$V59:$AB59,0)),IF($D59&lt;&gt;"",INDEX($O$4:$U$4,MATCH(MIN($O59:$U59),$O59:$U59,0)),"")),"")</f>
        <v/>
      </c>
      <c r="AK59" s="30">
        <f>IFERROR(IF($G59&lt;&gt;"",INDEX($V$4:$AB$4,MATCH(SMALL($V59:$AB59,2),$V59:$AB59,0)),IF($D59&lt;&gt;"",INDEX($O$4:$U$4,MATCH(SMALL($O59:$U59,2),$O59:$U59,0)),"")),"")</f>
        <v/>
      </c>
      <c r="AL59" s="30">
        <f>IF(OR(G59="",Settings!$B$17=""),"",IF(OR(ABS(G59-Settings!$B$5)&lt;=Settings!$B$17,ABS(G59-Settings!$B$6)&lt;=Settings!$B$17,ABS(G59-Settings!$B$7)&lt;=Settings!$B$17),"NEAR CUT",""))</f>
        <v/>
      </c>
      <c r="AM59" s="31">
        <f>IF('Post-Test Entry'!$AR59&lt;&gt;"","Post essay: code "&amp;'Post-Test Entry'!$AR59,IF('Pre-Test Entry'!$AR59&lt;&gt;"","Pre essay: code "&amp;'Pre-Test Entry'!$AR59,""))</f>
        <v/>
      </c>
      <c r="AN59" s="39">
        <f>IFERROR(IF($AJ59="","",INDEX(Settings!$D$28:$D$34,MATCH($AJ59,Settings!$A$28:$A$34,0))),"")</f>
        <v/>
      </c>
      <c r="AP59">
        <f>IF(D59="","",D59^2)</f>
        <v/>
      </c>
      <c r="AQ59">
        <f>IF(G59="","",G59^2)</f>
        <v/>
      </c>
    </row>
    <row r="60">
      <c r="A60" s="30">
        <f>IF(Roster!$A60="","",Roster!$A60)</f>
        <v/>
      </c>
      <c r="B60" s="31">
        <f>IF(Roster!$B60&lt;&gt;"",Roster!$C60&amp;" "&amp;Roster!$B60,"")</f>
        <v/>
      </c>
      <c r="C60" s="30">
        <f>IF(Roster!$B60&lt;&gt;"",Roster!$D60,"")</f>
        <v/>
      </c>
      <c r="D60" s="16">
        <f>IF(AND(Roster!$B60&lt;&gt;"",COUNT('Pre-Test Entry'!$C60:$AQ60)&gt;0),'Pre-Test Entry'!$AS60,"")</f>
        <v/>
      </c>
      <c r="E60" s="37">
        <f>IFERROR(D60/Settings!$B$8,"")</f>
        <v/>
      </c>
      <c r="F60" s="31">
        <f>IF(D60="","",IF(D60&gt;=Settings!$B$7,"Distinguished Learner",IF(D60&gt;=Settings!$B$6,"Proficient Learner",IF(D60&gt;=Settings!$B$5,"Developing Learner","Beginning Learner"))))</f>
        <v/>
      </c>
      <c r="G60" s="16">
        <f>IF(AND(Roster!$B60&lt;&gt;"",COUNT('Post-Test Entry'!$C60:$AQ60)&gt;0),'Post-Test Entry'!$AS60,"")</f>
        <v/>
      </c>
      <c r="H60" s="37">
        <f>IFERROR(G60/Settings!$B$8,"")</f>
        <v/>
      </c>
      <c r="I60" s="31">
        <f>IF(G60="","",IF(G60&gt;=Settings!$B$7,"Distinguished Learner",IF(G60&gt;=Settings!$B$6,"Proficient Learner",IF(G60&gt;=Settings!$B$5,"Developing Learner","Beginning Learner"))))</f>
        <v/>
      </c>
      <c r="J60" s="16">
        <f>IF(OR(D60="",G60=""),"",G60-D60)</f>
        <v/>
      </c>
      <c r="K60" s="37">
        <f>IFERROR(IF(OR(J60="",J60&lt;=0),"",(G60-D60)/(Settings!$B$8-D60)),"")</f>
        <v/>
      </c>
      <c r="L60" s="38">
        <f>IFERROR(IF(J60="","",(G60-D60)/(Settings!$B$17*SQRT(2))),"")</f>
        <v/>
      </c>
      <c r="M60" s="30">
        <f>IF(L60="","",IF(ABS(L60)&gt;=1.96,"Yes","No"))</f>
        <v/>
      </c>
      <c r="N60" s="30">
        <f>IF(J60="","",IF(J60&gt;=Settings!$B$15,"Yes","No"))</f>
        <v/>
      </c>
      <c r="O60" s="37">
        <f>IFERROR(IF($D60="","",SUMIF('Pre-Test Entry'!$C$3:$AQ$3,Settings!$A$28,'Pre-Test Entry'!$C60:$AQ60)/Settings!$C$28),"")</f>
        <v/>
      </c>
      <c r="P60" s="37">
        <f>IFERROR(IF($D60="","",SUMIF('Pre-Test Entry'!$C$3:$AQ$3,Settings!$A$29,'Pre-Test Entry'!$C60:$AQ60)/Settings!$C$29),"")</f>
        <v/>
      </c>
      <c r="Q60" s="37">
        <f>IFERROR(IF($D60="","",SUMIF('Pre-Test Entry'!$C$3:$AQ$3,Settings!$A$30,'Pre-Test Entry'!$C60:$AQ60)/Settings!$C$30),"")</f>
        <v/>
      </c>
      <c r="R60" s="37">
        <f>IFERROR(IF($D60="","",SUMIF('Pre-Test Entry'!$C$3:$AQ$3,Settings!$A$31,'Pre-Test Entry'!$C60:$AQ60)/Settings!$C$31),"")</f>
        <v/>
      </c>
      <c r="S60" s="37">
        <f>IFERROR(IF($D60="","",SUMIF('Pre-Test Entry'!$C$3:$AQ$3,Settings!$A$32,'Pre-Test Entry'!$C60:$AQ60)/Settings!$C$32),"")</f>
        <v/>
      </c>
      <c r="T60" s="37">
        <f>IFERROR(IF($D60="","",SUMIF('Pre-Test Entry'!$C$3:$AQ$3,Settings!$A$33,'Pre-Test Entry'!$C60:$AQ60)/Settings!$C$33),"")</f>
        <v/>
      </c>
      <c r="U60" s="37">
        <f>IFERROR(IF($D60="","",SUMIF('Pre-Test Entry'!$C$3:$AQ$3,Settings!$A$34,'Pre-Test Entry'!$C60:$AQ60)/Settings!$C$34),"")</f>
        <v/>
      </c>
      <c r="V60" s="37">
        <f>IFERROR(IF($G60="","",SUMIF('Post-Test Entry'!$C$3:$AQ$3,Settings!$A$28,'Post-Test Entry'!$C60:$AQ60)/Settings!$C$28),"")</f>
        <v/>
      </c>
      <c r="W60" s="37">
        <f>IFERROR(IF($G60="","",SUMIF('Post-Test Entry'!$C$3:$AQ$3,Settings!$A$29,'Post-Test Entry'!$C60:$AQ60)/Settings!$C$29),"")</f>
        <v/>
      </c>
      <c r="X60" s="37">
        <f>IFERROR(IF($G60="","",SUMIF('Post-Test Entry'!$C$3:$AQ$3,Settings!$A$30,'Post-Test Entry'!$C60:$AQ60)/Settings!$C$30),"")</f>
        <v/>
      </c>
      <c r="Y60" s="37">
        <f>IFERROR(IF($G60="","",SUMIF('Post-Test Entry'!$C$3:$AQ$3,Settings!$A$31,'Post-Test Entry'!$C60:$AQ60)/Settings!$C$31),"")</f>
        <v/>
      </c>
      <c r="Z60" s="37">
        <f>IFERROR(IF($G60="","",SUMIF('Post-Test Entry'!$C$3:$AQ$3,Settings!$A$32,'Post-Test Entry'!$C60:$AQ60)/Settings!$C$32),"")</f>
        <v/>
      </c>
      <c r="AA60" s="37">
        <f>IFERROR(IF($G60="","",SUMIF('Post-Test Entry'!$C$3:$AQ$3,Settings!$A$33,'Post-Test Entry'!$C60:$AQ60)/Settings!$C$33),"")</f>
        <v/>
      </c>
      <c r="AB60" s="37">
        <f>IFERROR(IF($G60="","",SUMIF('Post-Test Entry'!$C$3:$AQ$3,Settings!$A$34,'Post-Test Entry'!$C60:$AQ60)/Settings!$C$34),"")</f>
        <v/>
      </c>
      <c r="AC60" s="37">
        <f>IF(OR(O60="",V60=""),"",V60-O60)</f>
        <v/>
      </c>
      <c r="AD60" s="37">
        <f>IF(OR(P60="",W60=""),"",W60-P60)</f>
        <v/>
      </c>
      <c r="AE60" s="37">
        <f>IF(OR(Q60="",X60=""),"",X60-Q60)</f>
        <v/>
      </c>
      <c r="AF60" s="37">
        <f>IF(OR(R60="",Y60=""),"",Y60-R60)</f>
        <v/>
      </c>
      <c r="AG60" s="37">
        <f>IF(OR(S60="",Z60=""),"",Z60-S60)</f>
        <v/>
      </c>
      <c r="AH60" s="37">
        <f>IF(OR(T60="",AA60=""),"",AA60-T60)</f>
        <v/>
      </c>
      <c r="AI60" s="37">
        <f>IF(OR(U60="",AB60=""),"",AB60-U60)</f>
        <v/>
      </c>
      <c r="AJ60" s="30">
        <f>IFERROR(IF($G60&lt;&gt;"",INDEX($V$4:$AB$4,MATCH(MIN($V60:$AB60),$V60:$AB60,0)),IF($D60&lt;&gt;"",INDEX($O$4:$U$4,MATCH(MIN($O60:$U60),$O60:$U60,0)),"")),"")</f>
        <v/>
      </c>
      <c r="AK60" s="30">
        <f>IFERROR(IF($G60&lt;&gt;"",INDEX($V$4:$AB$4,MATCH(SMALL($V60:$AB60,2),$V60:$AB60,0)),IF($D60&lt;&gt;"",INDEX($O$4:$U$4,MATCH(SMALL($O60:$U60,2),$O60:$U60,0)),"")),"")</f>
        <v/>
      </c>
      <c r="AL60" s="30">
        <f>IF(OR(G60="",Settings!$B$17=""),"",IF(OR(ABS(G60-Settings!$B$5)&lt;=Settings!$B$17,ABS(G60-Settings!$B$6)&lt;=Settings!$B$17,ABS(G60-Settings!$B$7)&lt;=Settings!$B$17),"NEAR CUT",""))</f>
        <v/>
      </c>
      <c r="AM60" s="31">
        <f>IF('Post-Test Entry'!$AR60&lt;&gt;"","Post essay: code "&amp;'Post-Test Entry'!$AR60,IF('Pre-Test Entry'!$AR60&lt;&gt;"","Pre essay: code "&amp;'Pre-Test Entry'!$AR60,""))</f>
        <v/>
      </c>
      <c r="AN60" s="39">
        <f>IFERROR(IF($AJ60="","",INDEX(Settings!$D$28:$D$34,MATCH($AJ60,Settings!$A$28:$A$34,0))),"")</f>
        <v/>
      </c>
      <c r="AP60">
        <f>IF(D60="","",D60^2)</f>
        <v/>
      </c>
      <c r="AQ60">
        <f>IF(G60="","",G60^2)</f>
        <v/>
      </c>
    </row>
    <row r="61">
      <c r="A61" s="30">
        <f>IF(Roster!$A61="","",Roster!$A61)</f>
        <v/>
      </c>
      <c r="B61" s="31">
        <f>IF(Roster!$B61&lt;&gt;"",Roster!$C61&amp;" "&amp;Roster!$B61,"")</f>
        <v/>
      </c>
      <c r="C61" s="30">
        <f>IF(Roster!$B61&lt;&gt;"",Roster!$D61,"")</f>
        <v/>
      </c>
      <c r="D61" s="16">
        <f>IF(AND(Roster!$B61&lt;&gt;"",COUNT('Pre-Test Entry'!$C61:$AQ61)&gt;0),'Pre-Test Entry'!$AS61,"")</f>
        <v/>
      </c>
      <c r="E61" s="37">
        <f>IFERROR(D61/Settings!$B$8,"")</f>
        <v/>
      </c>
      <c r="F61" s="31">
        <f>IF(D61="","",IF(D61&gt;=Settings!$B$7,"Distinguished Learner",IF(D61&gt;=Settings!$B$6,"Proficient Learner",IF(D61&gt;=Settings!$B$5,"Developing Learner","Beginning Learner"))))</f>
        <v/>
      </c>
      <c r="G61" s="16">
        <f>IF(AND(Roster!$B61&lt;&gt;"",COUNT('Post-Test Entry'!$C61:$AQ61)&gt;0),'Post-Test Entry'!$AS61,"")</f>
        <v/>
      </c>
      <c r="H61" s="37">
        <f>IFERROR(G61/Settings!$B$8,"")</f>
        <v/>
      </c>
      <c r="I61" s="31">
        <f>IF(G61="","",IF(G61&gt;=Settings!$B$7,"Distinguished Learner",IF(G61&gt;=Settings!$B$6,"Proficient Learner",IF(G61&gt;=Settings!$B$5,"Developing Learner","Beginning Learner"))))</f>
        <v/>
      </c>
      <c r="J61" s="16">
        <f>IF(OR(D61="",G61=""),"",G61-D61)</f>
        <v/>
      </c>
      <c r="K61" s="37">
        <f>IFERROR(IF(OR(J61="",J61&lt;=0),"",(G61-D61)/(Settings!$B$8-D61)),"")</f>
        <v/>
      </c>
      <c r="L61" s="38">
        <f>IFERROR(IF(J61="","",(G61-D61)/(Settings!$B$17*SQRT(2))),"")</f>
        <v/>
      </c>
      <c r="M61" s="30">
        <f>IF(L61="","",IF(ABS(L61)&gt;=1.96,"Yes","No"))</f>
        <v/>
      </c>
      <c r="N61" s="30">
        <f>IF(J61="","",IF(J61&gt;=Settings!$B$15,"Yes","No"))</f>
        <v/>
      </c>
      <c r="O61" s="37">
        <f>IFERROR(IF($D61="","",SUMIF('Pre-Test Entry'!$C$3:$AQ$3,Settings!$A$28,'Pre-Test Entry'!$C61:$AQ61)/Settings!$C$28),"")</f>
        <v/>
      </c>
      <c r="P61" s="37">
        <f>IFERROR(IF($D61="","",SUMIF('Pre-Test Entry'!$C$3:$AQ$3,Settings!$A$29,'Pre-Test Entry'!$C61:$AQ61)/Settings!$C$29),"")</f>
        <v/>
      </c>
      <c r="Q61" s="37">
        <f>IFERROR(IF($D61="","",SUMIF('Pre-Test Entry'!$C$3:$AQ$3,Settings!$A$30,'Pre-Test Entry'!$C61:$AQ61)/Settings!$C$30),"")</f>
        <v/>
      </c>
      <c r="R61" s="37">
        <f>IFERROR(IF($D61="","",SUMIF('Pre-Test Entry'!$C$3:$AQ$3,Settings!$A$31,'Pre-Test Entry'!$C61:$AQ61)/Settings!$C$31),"")</f>
        <v/>
      </c>
      <c r="S61" s="37">
        <f>IFERROR(IF($D61="","",SUMIF('Pre-Test Entry'!$C$3:$AQ$3,Settings!$A$32,'Pre-Test Entry'!$C61:$AQ61)/Settings!$C$32),"")</f>
        <v/>
      </c>
      <c r="T61" s="37">
        <f>IFERROR(IF($D61="","",SUMIF('Pre-Test Entry'!$C$3:$AQ$3,Settings!$A$33,'Pre-Test Entry'!$C61:$AQ61)/Settings!$C$33),"")</f>
        <v/>
      </c>
      <c r="U61" s="37">
        <f>IFERROR(IF($D61="","",SUMIF('Pre-Test Entry'!$C$3:$AQ$3,Settings!$A$34,'Pre-Test Entry'!$C61:$AQ61)/Settings!$C$34),"")</f>
        <v/>
      </c>
      <c r="V61" s="37">
        <f>IFERROR(IF($G61="","",SUMIF('Post-Test Entry'!$C$3:$AQ$3,Settings!$A$28,'Post-Test Entry'!$C61:$AQ61)/Settings!$C$28),"")</f>
        <v/>
      </c>
      <c r="W61" s="37">
        <f>IFERROR(IF($G61="","",SUMIF('Post-Test Entry'!$C$3:$AQ$3,Settings!$A$29,'Post-Test Entry'!$C61:$AQ61)/Settings!$C$29),"")</f>
        <v/>
      </c>
      <c r="X61" s="37">
        <f>IFERROR(IF($G61="","",SUMIF('Post-Test Entry'!$C$3:$AQ$3,Settings!$A$30,'Post-Test Entry'!$C61:$AQ61)/Settings!$C$30),"")</f>
        <v/>
      </c>
      <c r="Y61" s="37">
        <f>IFERROR(IF($G61="","",SUMIF('Post-Test Entry'!$C$3:$AQ$3,Settings!$A$31,'Post-Test Entry'!$C61:$AQ61)/Settings!$C$31),"")</f>
        <v/>
      </c>
      <c r="Z61" s="37">
        <f>IFERROR(IF($G61="","",SUMIF('Post-Test Entry'!$C$3:$AQ$3,Settings!$A$32,'Post-Test Entry'!$C61:$AQ61)/Settings!$C$32),"")</f>
        <v/>
      </c>
      <c r="AA61" s="37">
        <f>IFERROR(IF($G61="","",SUMIF('Post-Test Entry'!$C$3:$AQ$3,Settings!$A$33,'Post-Test Entry'!$C61:$AQ61)/Settings!$C$33),"")</f>
        <v/>
      </c>
      <c r="AB61" s="37">
        <f>IFERROR(IF($G61="","",SUMIF('Post-Test Entry'!$C$3:$AQ$3,Settings!$A$34,'Post-Test Entry'!$C61:$AQ61)/Settings!$C$34),"")</f>
        <v/>
      </c>
      <c r="AC61" s="37">
        <f>IF(OR(O61="",V61=""),"",V61-O61)</f>
        <v/>
      </c>
      <c r="AD61" s="37">
        <f>IF(OR(P61="",W61=""),"",W61-P61)</f>
        <v/>
      </c>
      <c r="AE61" s="37">
        <f>IF(OR(Q61="",X61=""),"",X61-Q61)</f>
        <v/>
      </c>
      <c r="AF61" s="37">
        <f>IF(OR(R61="",Y61=""),"",Y61-R61)</f>
        <v/>
      </c>
      <c r="AG61" s="37">
        <f>IF(OR(S61="",Z61=""),"",Z61-S61)</f>
        <v/>
      </c>
      <c r="AH61" s="37">
        <f>IF(OR(T61="",AA61=""),"",AA61-T61)</f>
        <v/>
      </c>
      <c r="AI61" s="37">
        <f>IF(OR(U61="",AB61=""),"",AB61-U61)</f>
        <v/>
      </c>
      <c r="AJ61" s="30">
        <f>IFERROR(IF($G61&lt;&gt;"",INDEX($V$4:$AB$4,MATCH(MIN($V61:$AB61),$V61:$AB61,0)),IF($D61&lt;&gt;"",INDEX($O$4:$U$4,MATCH(MIN($O61:$U61),$O61:$U61,0)),"")),"")</f>
        <v/>
      </c>
      <c r="AK61" s="30">
        <f>IFERROR(IF($G61&lt;&gt;"",INDEX($V$4:$AB$4,MATCH(SMALL($V61:$AB61,2),$V61:$AB61,0)),IF($D61&lt;&gt;"",INDEX($O$4:$U$4,MATCH(SMALL($O61:$U61,2),$O61:$U61,0)),"")),"")</f>
        <v/>
      </c>
      <c r="AL61" s="30">
        <f>IF(OR(G61="",Settings!$B$17=""),"",IF(OR(ABS(G61-Settings!$B$5)&lt;=Settings!$B$17,ABS(G61-Settings!$B$6)&lt;=Settings!$B$17,ABS(G61-Settings!$B$7)&lt;=Settings!$B$17),"NEAR CUT",""))</f>
        <v/>
      </c>
      <c r="AM61" s="31">
        <f>IF('Post-Test Entry'!$AR61&lt;&gt;"","Post essay: code "&amp;'Post-Test Entry'!$AR61,IF('Pre-Test Entry'!$AR61&lt;&gt;"","Pre essay: code "&amp;'Pre-Test Entry'!$AR61,""))</f>
        <v/>
      </c>
      <c r="AN61" s="39">
        <f>IFERROR(IF($AJ61="","",INDEX(Settings!$D$28:$D$34,MATCH($AJ61,Settings!$A$28:$A$34,0))),"")</f>
        <v/>
      </c>
      <c r="AP61">
        <f>IF(D61="","",D61^2)</f>
        <v/>
      </c>
      <c r="AQ61">
        <f>IF(G61="","",G61^2)</f>
        <v/>
      </c>
    </row>
    <row r="62">
      <c r="A62" s="30">
        <f>IF(Roster!$A62="","",Roster!$A62)</f>
        <v/>
      </c>
      <c r="B62" s="31">
        <f>IF(Roster!$B62&lt;&gt;"",Roster!$C62&amp;" "&amp;Roster!$B62,"")</f>
        <v/>
      </c>
      <c r="C62" s="30">
        <f>IF(Roster!$B62&lt;&gt;"",Roster!$D62,"")</f>
        <v/>
      </c>
      <c r="D62" s="16">
        <f>IF(AND(Roster!$B62&lt;&gt;"",COUNT('Pre-Test Entry'!$C62:$AQ62)&gt;0),'Pre-Test Entry'!$AS62,"")</f>
        <v/>
      </c>
      <c r="E62" s="37">
        <f>IFERROR(D62/Settings!$B$8,"")</f>
        <v/>
      </c>
      <c r="F62" s="31">
        <f>IF(D62="","",IF(D62&gt;=Settings!$B$7,"Distinguished Learner",IF(D62&gt;=Settings!$B$6,"Proficient Learner",IF(D62&gt;=Settings!$B$5,"Developing Learner","Beginning Learner"))))</f>
        <v/>
      </c>
      <c r="G62" s="16">
        <f>IF(AND(Roster!$B62&lt;&gt;"",COUNT('Post-Test Entry'!$C62:$AQ62)&gt;0),'Post-Test Entry'!$AS62,"")</f>
        <v/>
      </c>
      <c r="H62" s="37">
        <f>IFERROR(G62/Settings!$B$8,"")</f>
        <v/>
      </c>
      <c r="I62" s="31">
        <f>IF(G62="","",IF(G62&gt;=Settings!$B$7,"Distinguished Learner",IF(G62&gt;=Settings!$B$6,"Proficient Learner",IF(G62&gt;=Settings!$B$5,"Developing Learner","Beginning Learner"))))</f>
        <v/>
      </c>
      <c r="J62" s="16">
        <f>IF(OR(D62="",G62=""),"",G62-D62)</f>
        <v/>
      </c>
      <c r="K62" s="37">
        <f>IFERROR(IF(OR(J62="",J62&lt;=0),"",(G62-D62)/(Settings!$B$8-D62)),"")</f>
        <v/>
      </c>
      <c r="L62" s="38">
        <f>IFERROR(IF(J62="","",(G62-D62)/(Settings!$B$17*SQRT(2))),"")</f>
        <v/>
      </c>
      <c r="M62" s="30">
        <f>IF(L62="","",IF(ABS(L62)&gt;=1.96,"Yes","No"))</f>
        <v/>
      </c>
      <c r="N62" s="30">
        <f>IF(J62="","",IF(J62&gt;=Settings!$B$15,"Yes","No"))</f>
        <v/>
      </c>
      <c r="O62" s="37">
        <f>IFERROR(IF($D62="","",SUMIF('Pre-Test Entry'!$C$3:$AQ$3,Settings!$A$28,'Pre-Test Entry'!$C62:$AQ62)/Settings!$C$28),"")</f>
        <v/>
      </c>
      <c r="P62" s="37">
        <f>IFERROR(IF($D62="","",SUMIF('Pre-Test Entry'!$C$3:$AQ$3,Settings!$A$29,'Pre-Test Entry'!$C62:$AQ62)/Settings!$C$29),"")</f>
        <v/>
      </c>
      <c r="Q62" s="37">
        <f>IFERROR(IF($D62="","",SUMIF('Pre-Test Entry'!$C$3:$AQ$3,Settings!$A$30,'Pre-Test Entry'!$C62:$AQ62)/Settings!$C$30),"")</f>
        <v/>
      </c>
      <c r="R62" s="37">
        <f>IFERROR(IF($D62="","",SUMIF('Pre-Test Entry'!$C$3:$AQ$3,Settings!$A$31,'Pre-Test Entry'!$C62:$AQ62)/Settings!$C$31),"")</f>
        <v/>
      </c>
      <c r="S62" s="37">
        <f>IFERROR(IF($D62="","",SUMIF('Pre-Test Entry'!$C$3:$AQ$3,Settings!$A$32,'Pre-Test Entry'!$C62:$AQ62)/Settings!$C$32),"")</f>
        <v/>
      </c>
      <c r="T62" s="37">
        <f>IFERROR(IF($D62="","",SUMIF('Pre-Test Entry'!$C$3:$AQ$3,Settings!$A$33,'Pre-Test Entry'!$C62:$AQ62)/Settings!$C$33),"")</f>
        <v/>
      </c>
      <c r="U62" s="37">
        <f>IFERROR(IF($D62="","",SUMIF('Pre-Test Entry'!$C$3:$AQ$3,Settings!$A$34,'Pre-Test Entry'!$C62:$AQ62)/Settings!$C$34),"")</f>
        <v/>
      </c>
      <c r="V62" s="37">
        <f>IFERROR(IF($G62="","",SUMIF('Post-Test Entry'!$C$3:$AQ$3,Settings!$A$28,'Post-Test Entry'!$C62:$AQ62)/Settings!$C$28),"")</f>
        <v/>
      </c>
      <c r="W62" s="37">
        <f>IFERROR(IF($G62="","",SUMIF('Post-Test Entry'!$C$3:$AQ$3,Settings!$A$29,'Post-Test Entry'!$C62:$AQ62)/Settings!$C$29),"")</f>
        <v/>
      </c>
      <c r="X62" s="37">
        <f>IFERROR(IF($G62="","",SUMIF('Post-Test Entry'!$C$3:$AQ$3,Settings!$A$30,'Post-Test Entry'!$C62:$AQ62)/Settings!$C$30),"")</f>
        <v/>
      </c>
      <c r="Y62" s="37">
        <f>IFERROR(IF($G62="","",SUMIF('Post-Test Entry'!$C$3:$AQ$3,Settings!$A$31,'Post-Test Entry'!$C62:$AQ62)/Settings!$C$31),"")</f>
        <v/>
      </c>
      <c r="Z62" s="37">
        <f>IFERROR(IF($G62="","",SUMIF('Post-Test Entry'!$C$3:$AQ$3,Settings!$A$32,'Post-Test Entry'!$C62:$AQ62)/Settings!$C$32),"")</f>
        <v/>
      </c>
      <c r="AA62" s="37">
        <f>IFERROR(IF($G62="","",SUMIF('Post-Test Entry'!$C$3:$AQ$3,Settings!$A$33,'Post-Test Entry'!$C62:$AQ62)/Settings!$C$33),"")</f>
        <v/>
      </c>
      <c r="AB62" s="37">
        <f>IFERROR(IF($G62="","",SUMIF('Post-Test Entry'!$C$3:$AQ$3,Settings!$A$34,'Post-Test Entry'!$C62:$AQ62)/Settings!$C$34),"")</f>
        <v/>
      </c>
      <c r="AC62" s="37">
        <f>IF(OR(O62="",V62=""),"",V62-O62)</f>
        <v/>
      </c>
      <c r="AD62" s="37">
        <f>IF(OR(P62="",W62=""),"",W62-P62)</f>
        <v/>
      </c>
      <c r="AE62" s="37">
        <f>IF(OR(Q62="",X62=""),"",X62-Q62)</f>
        <v/>
      </c>
      <c r="AF62" s="37">
        <f>IF(OR(R62="",Y62=""),"",Y62-R62)</f>
        <v/>
      </c>
      <c r="AG62" s="37">
        <f>IF(OR(S62="",Z62=""),"",Z62-S62)</f>
        <v/>
      </c>
      <c r="AH62" s="37">
        <f>IF(OR(T62="",AA62=""),"",AA62-T62)</f>
        <v/>
      </c>
      <c r="AI62" s="37">
        <f>IF(OR(U62="",AB62=""),"",AB62-U62)</f>
        <v/>
      </c>
      <c r="AJ62" s="30">
        <f>IFERROR(IF($G62&lt;&gt;"",INDEX($V$4:$AB$4,MATCH(MIN($V62:$AB62),$V62:$AB62,0)),IF($D62&lt;&gt;"",INDEX($O$4:$U$4,MATCH(MIN($O62:$U62),$O62:$U62,0)),"")),"")</f>
        <v/>
      </c>
      <c r="AK62" s="30">
        <f>IFERROR(IF($G62&lt;&gt;"",INDEX($V$4:$AB$4,MATCH(SMALL($V62:$AB62,2),$V62:$AB62,0)),IF($D62&lt;&gt;"",INDEX($O$4:$U$4,MATCH(SMALL($O62:$U62,2),$O62:$U62,0)),"")),"")</f>
        <v/>
      </c>
      <c r="AL62" s="30">
        <f>IF(OR(G62="",Settings!$B$17=""),"",IF(OR(ABS(G62-Settings!$B$5)&lt;=Settings!$B$17,ABS(G62-Settings!$B$6)&lt;=Settings!$B$17,ABS(G62-Settings!$B$7)&lt;=Settings!$B$17),"NEAR CUT",""))</f>
        <v/>
      </c>
      <c r="AM62" s="31">
        <f>IF('Post-Test Entry'!$AR62&lt;&gt;"","Post essay: code "&amp;'Post-Test Entry'!$AR62,IF('Pre-Test Entry'!$AR62&lt;&gt;"","Pre essay: code "&amp;'Pre-Test Entry'!$AR62,""))</f>
        <v/>
      </c>
      <c r="AN62" s="39">
        <f>IFERROR(IF($AJ62="","",INDEX(Settings!$D$28:$D$34,MATCH($AJ62,Settings!$A$28:$A$34,0))),"")</f>
        <v/>
      </c>
      <c r="AP62">
        <f>IF(D62="","",D62^2)</f>
        <v/>
      </c>
      <c r="AQ62">
        <f>IF(G62="","",G62^2)</f>
        <v/>
      </c>
    </row>
    <row r="63">
      <c r="A63" s="30">
        <f>IF(Roster!$A63="","",Roster!$A63)</f>
        <v/>
      </c>
      <c r="B63" s="31">
        <f>IF(Roster!$B63&lt;&gt;"",Roster!$C63&amp;" "&amp;Roster!$B63,"")</f>
        <v/>
      </c>
      <c r="C63" s="30">
        <f>IF(Roster!$B63&lt;&gt;"",Roster!$D63,"")</f>
        <v/>
      </c>
      <c r="D63" s="16">
        <f>IF(AND(Roster!$B63&lt;&gt;"",COUNT('Pre-Test Entry'!$C63:$AQ63)&gt;0),'Pre-Test Entry'!$AS63,"")</f>
        <v/>
      </c>
      <c r="E63" s="37">
        <f>IFERROR(D63/Settings!$B$8,"")</f>
        <v/>
      </c>
      <c r="F63" s="31">
        <f>IF(D63="","",IF(D63&gt;=Settings!$B$7,"Distinguished Learner",IF(D63&gt;=Settings!$B$6,"Proficient Learner",IF(D63&gt;=Settings!$B$5,"Developing Learner","Beginning Learner"))))</f>
        <v/>
      </c>
      <c r="G63" s="16">
        <f>IF(AND(Roster!$B63&lt;&gt;"",COUNT('Post-Test Entry'!$C63:$AQ63)&gt;0),'Post-Test Entry'!$AS63,"")</f>
        <v/>
      </c>
      <c r="H63" s="37">
        <f>IFERROR(G63/Settings!$B$8,"")</f>
        <v/>
      </c>
      <c r="I63" s="31">
        <f>IF(G63="","",IF(G63&gt;=Settings!$B$7,"Distinguished Learner",IF(G63&gt;=Settings!$B$6,"Proficient Learner",IF(G63&gt;=Settings!$B$5,"Developing Learner","Beginning Learner"))))</f>
        <v/>
      </c>
      <c r="J63" s="16">
        <f>IF(OR(D63="",G63=""),"",G63-D63)</f>
        <v/>
      </c>
      <c r="K63" s="37">
        <f>IFERROR(IF(OR(J63="",J63&lt;=0),"",(G63-D63)/(Settings!$B$8-D63)),"")</f>
        <v/>
      </c>
      <c r="L63" s="38">
        <f>IFERROR(IF(J63="","",(G63-D63)/(Settings!$B$17*SQRT(2))),"")</f>
        <v/>
      </c>
      <c r="M63" s="30">
        <f>IF(L63="","",IF(ABS(L63)&gt;=1.96,"Yes","No"))</f>
        <v/>
      </c>
      <c r="N63" s="30">
        <f>IF(J63="","",IF(J63&gt;=Settings!$B$15,"Yes","No"))</f>
        <v/>
      </c>
      <c r="O63" s="37">
        <f>IFERROR(IF($D63="","",SUMIF('Pre-Test Entry'!$C$3:$AQ$3,Settings!$A$28,'Pre-Test Entry'!$C63:$AQ63)/Settings!$C$28),"")</f>
        <v/>
      </c>
      <c r="P63" s="37">
        <f>IFERROR(IF($D63="","",SUMIF('Pre-Test Entry'!$C$3:$AQ$3,Settings!$A$29,'Pre-Test Entry'!$C63:$AQ63)/Settings!$C$29),"")</f>
        <v/>
      </c>
      <c r="Q63" s="37">
        <f>IFERROR(IF($D63="","",SUMIF('Pre-Test Entry'!$C$3:$AQ$3,Settings!$A$30,'Pre-Test Entry'!$C63:$AQ63)/Settings!$C$30),"")</f>
        <v/>
      </c>
      <c r="R63" s="37">
        <f>IFERROR(IF($D63="","",SUMIF('Pre-Test Entry'!$C$3:$AQ$3,Settings!$A$31,'Pre-Test Entry'!$C63:$AQ63)/Settings!$C$31),"")</f>
        <v/>
      </c>
      <c r="S63" s="37">
        <f>IFERROR(IF($D63="","",SUMIF('Pre-Test Entry'!$C$3:$AQ$3,Settings!$A$32,'Pre-Test Entry'!$C63:$AQ63)/Settings!$C$32),"")</f>
        <v/>
      </c>
      <c r="T63" s="37">
        <f>IFERROR(IF($D63="","",SUMIF('Pre-Test Entry'!$C$3:$AQ$3,Settings!$A$33,'Pre-Test Entry'!$C63:$AQ63)/Settings!$C$33),"")</f>
        <v/>
      </c>
      <c r="U63" s="37">
        <f>IFERROR(IF($D63="","",SUMIF('Pre-Test Entry'!$C$3:$AQ$3,Settings!$A$34,'Pre-Test Entry'!$C63:$AQ63)/Settings!$C$34),"")</f>
        <v/>
      </c>
      <c r="V63" s="37">
        <f>IFERROR(IF($G63="","",SUMIF('Post-Test Entry'!$C$3:$AQ$3,Settings!$A$28,'Post-Test Entry'!$C63:$AQ63)/Settings!$C$28),"")</f>
        <v/>
      </c>
      <c r="W63" s="37">
        <f>IFERROR(IF($G63="","",SUMIF('Post-Test Entry'!$C$3:$AQ$3,Settings!$A$29,'Post-Test Entry'!$C63:$AQ63)/Settings!$C$29),"")</f>
        <v/>
      </c>
      <c r="X63" s="37">
        <f>IFERROR(IF($G63="","",SUMIF('Post-Test Entry'!$C$3:$AQ$3,Settings!$A$30,'Post-Test Entry'!$C63:$AQ63)/Settings!$C$30),"")</f>
        <v/>
      </c>
      <c r="Y63" s="37">
        <f>IFERROR(IF($G63="","",SUMIF('Post-Test Entry'!$C$3:$AQ$3,Settings!$A$31,'Post-Test Entry'!$C63:$AQ63)/Settings!$C$31),"")</f>
        <v/>
      </c>
      <c r="Z63" s="37">
        <f>IFERROR(IF($G63="","",SUMIF('Post-Test Entry'!$C$3:$AQ$3,Settings!$A$32,'Post-Test Entry'!$C63:$AQ63)/Settings!$C$32),"")</f>
        <v/>
      </c>
      <c r="AA63" s="37">
        <f>IFERROR(IF($G63="","",SUMIF('Post-Test Entry'!$C$3:$AQ$3,Settings!$A$33,'Post-Test Entry'!$C63:$AQ63)/Settings!$C$33),"")</f>
        <v/>
      </c>
      <c r="AB63" s="37">
        <f>IFERROR(IF($G63="","",SUMIF('Post-Test Entry'!$C$3:$AQ$3,Settings!$A$34,'Post-Test Entry'!$C63:$AQ63)/Settings!$C$34),"")</f>
        <v/>
      </c>
      <c r="AC63" s="37">
        <f>IF(OR(O63="",V63=""),"",V63-O63)</f>
        <v/>
      </c>
      <c r="AD63" s="37">
        <f>IF(OR(P63="",W63=""),"",W63-P63)</f>
        <v/>
      </c>
      <c r="AE63" s="37">
        <f>IF(OR(Q63="",X63=""),"",X63-Q63)</f>
        <v/>
      </c>
      <c r="AF63" s="37">
        <f>IF(OR(R63="",Y63=""),"",Y63-R63)</f>
        <v/>
      </c>
      <c r="AG63" s="37">
        <f>IF(OR(S63="",Z63=""),"",Z63-S63)</f>
        <v/>
      </c>
      <c r="AH63" s="37">
        <f>IF(OR(T63="",AA63=""),"",AA63-T63)</f>
        <v/>
      </c>
      <c r="AI63" s="37">
        <f>IF(OR(U63="",AB63=""),"",AB63-U63)</f>
        <v/>
      </c>
      <c r="AJ63" s="30">
        <f>IFERROR(IF($G63&lt;&gt;"",INDEX($V$4:$AB$4,MATCH(MIN($V63:$AB63),$V63:$AB63,0)),IF($D63&lt;&gt;"",INDEX($O$4:$U$4,MATCH(MIN($O63:$U63),$O63:$U63,0)),"")),"")</f>
        <v/>
      </c>
      <c r="AK63" s="30">
        <f>IFERROR(IF($G63&lt;&gt;"",INDEX($V$4:$AB$4,MATCH(SMALL($V63:$AB63,2),$V63:$AB63,0)),IF($D63&lt;&gt;"",INDEX($O$4:$U$4,MATCH(SMALL($O63:$U63,2),$O63:$U63,0)),"")),"")</f>
        <v/>
      </c>
      <c r="AL63" s="30">
        <f>IF(OR(G63="",Settings!$B$17=""),"",IF(OR(ABS(G63-Settings!$B$5)&lt;=Settings!$B$17,ABS(G63-Settings!$B$6)&lt;=Settings!$B$17,ABS(G63-Settings!$B$7)&lt;=Settings!$B$17),"NEAR CUT",""))</f>
        <v/>
      </c>
      <c r="AM63" s="31">
        <f>IF('Post-Test Entry'!$AR63&lt;&gt;"","Post essay: code "&amp;'Post-Test Entry'!$AR63,IF('Pre-Test Entry'!$AR63&lt;&gt;"","Pre essay: code "&amp;'Pre-Test Entry'!$AR63,""))</f>
        <v/>
      </c>
      <c r="AN63" s="39">
        <f>IFERROR(IF($AJ63="","",INDEX(Settings!$D$28:$D$34,MATCH($AJ63,Settings!$A$28:$A$34,0))),"")</f>
        <v/>
      </c>
      <c r="AP63">
        <f>IF(D63="","",D63^2)</f>
        <v/>
      </c>
      <c r="AQ63">
        <f>IF(G63="","",G63^2)</f>
        <v/>
      </c>
    </row>
    <row r="64">
      <c r="A64" s="30">
        <f>IF(Roster!$A64="","",Roster!$A64)</f>
        <v/>
      </c>
      <c r="B64" s="31">
        <f>IF(Roster!$B64&lt;&gt;"",Roster!$C64&amp;" "&amp;Roster!$B64,"")</f>
        <v/>
      </c>
      <c r="C64" s="30">
        <f>IF(Roster!$B64&lt;&gt;"",Roster!$D64,"")</f>
        <v/>
      </c>
      <c r="D64" s="16">
        <f>IF(AND(Roster!$B64&lt;&gt;"",COUNT('Pre-Test Entry'!$C64:$AQ64)&gt;0),'Pre-Test Entry'!$AS64,"")</f>
        <v/>
      </c>
      <c r="E64" s="37">
        <f>IFERROR(D64/Settings!$B$8,"")</f>
        <v/>
      </c>
      <c r="F64" s="31">
        <f>IF(D64="","",IF(D64&gt;=Settings!$B$7,"Distinguished Learner",IF(D64&gt;=Settings!$B$6,"Proficient Learner",IF(D64&gt;=Settings!$B$5,"Developing Learner","Beginning Learner"))))</f>
        <v/>
      </c>
      <c r="G64" s="16">
        <f>IF(AND(Roster!$B64&lt;&gt;"",COUNT('Post-Test Entry'!$C64:$AQ64)&gt;0),'Post-Test Entry'!$AS64,"")</f>
        <v/>
      </c>
      <c r="H64" s="37">
        <f>IFERROR(G64/Settings!$B$8,"")</f>
        <v/>
      </c>
      <c r="I64" s="31">
        <f>IF(G64="","",IF(G64&gt;=Settings!$B$7,"Distinguished Learner",IF(G64&gt;=Settings!$B$6,"Proficient Learner",IF(G64&gt;=Settings!$B$5,"Developing Learner","Beginning Learner"))))</f>
        <v/>
      </c>
      <c r="J64" s="16">
        <f>IF(OR(D64="",G64=""),"",G64-D64)</f>
        <v/>
      </c>
      <c r="K64" s="37">
        <f>IFERROR(IF(OR(J64="",J64&lt;=0),"",(G64-D64)/(Settings!$B$8-D64)),"")</f>
        <v/>
      </c>
      <c r="L64" s="38">
        <f>IFERROR(IF(J64="","",(G64-D64)/(Settings!$B$17*SQRT(2))),"")</f>
        <v/>
      </c>
      <c r="M64" s="30">
        <f>IF(L64="","",IF(ABS(L64)&gt;=1.96,"Yes","No"))</f>
        <v/>
      </c>
      <c r="N64" s="30">
        <f>IF(J64="","",IF(J64&gt;=Settings!$B$15,"Yes","No"))</f>
        <v/>
      </c>
      <c r="O64" s="37">
        <f>IFERROR(IF($D64="","",SUMIF('Pre-Test Entry'!$C$3:$AQ$3,Settings!$A$28,'Pre-Test Entry'!$C64:$AQ64)/Settings!$C$28),"")</f>
        <v/>
      </c>
      <c r="P64" s="37">
        <f>IFERROR(IF($D64="","",SUMIF('Pre-Test Entry'!$C$3:$AQ$3,Settings!$A$29,'Pre-Test Entry'!$C64:$AQ64)/Settings!$C$29),"")</f>
        <v/>
      </c>
      <c r="Q64" s="37">
        <f>IFERROR(IF($D64="","",SUMIF('Pre-Test Entry'!$C$3:$AQ$3,Settings!$A$30,'Pre-Test Entry'!$C64:$AQ64)/Settings!$C$30),"")</f>
        <v/>
      </c>
      <c r="R64" s="37">
        <f>IFERROR(IF($D64="","",SUMIF('Pre-Test Entry'!$C$3:$AQ$3,Settings!$A$31,'Pre-Test Entry'!$C64:$AQ64)/Settings!$C$31),"")</f>
        <v/>
      </c>
      <c r="S64" s="37">
        <f>IFERROR(IF($D64="","",SUMIF('Pre-Test Entry'!$C$3:$AQ$3,Settings!$A$32,'Pre-Test Entry'!$C64:$AQ64)/Settings!$C$32),"")</f>
        <v/>
      </c>
      <c r="T64" s="37">
        <f>IFERROR(IF($D64="","",SUMIF('Pre-Test Entry'!$C$3:$AQ$3,Settings!$A$33,'Pre-Test Entry'!$C64:$AQ64)/Settings!$C$33),"")</f>
        <v/>
      </c>
      <c r="U64" s="37">
        <f>IFERROR(IF($D64="","",SUMIF('Pre-Test Entry'!$C$3:$AQ$3,Settings!$A$34,'Pre-Test Entry'!$C64:$AQ64)/Settings!$C$34),"")</f>
        <v/>
      </c>
      <c r="V64" s="37">
        <f>IFERROR(IF($G64="","",SUMIF('Post-Test Entry'!$C$3:$AQ$3,Settings!$A$28,'Post-Test Entry'!$C64:$AQ64)/Settings!$C$28),"")</f>
        <v/>
      </c>
      <c r="W64" s="37">
        <f>IFERROR(IF($G64="","",SUMIF('Post-Test Entry'!$C$3:$AQ$3,Settings!$A$29,'Post-Test Entry'!$C64:$AQ64)/Settings!$C$29),"")</f>
        <v/>
      </c>
      <c r="X64" s="37">
        <f>IFERROR(IF($G64="","",SUMIF('Post-Test Entry'!$C$3:$AQ$3,Settings!$A$30,'Post-Test Entry'!$C64:$AQ64)/Settings!$C$30),"")</f>
        <v/>
      </c>
      <c r="Y64" s="37">
        <f>IFERROR(IF($G64="","",SUMIF('Post-Test Entry'!$C$3:$AQ$3,Settings!$A$31,'Post-Test Entry'!$C64:$AQ64)/Settings!$C$31),"")</f>
        <v/>
      </c>
      <c r="Z64" s="37">
        <f>IFERROR(IF($G64="","",SUMIF('Post-Test Entry'!$C$3:$AQ$3,Settings!$A$32,'Post-Test Entry'!$C64:$AQ64)/Settings!$C$32),"")</f>
        <v/>
      </c>
      <c r="AA64" s="37">
        <f>IFERROR(IF($G64="","",SUMIF('Post-Test Entry'!$C$3:$AQ$3,Settings!$A$33,'Post-Test Entry'!$C64:$AQ64)/Settings!$C$33),"")</f>
        <v/>
      </c>
      <c r="AB64" s="37">
        <f>IFERROR(IF($G64="","",SUMIF('Post-Test Entry'!$C$3:$AQ$3,Settings!$A$34,'Post-Test Entry'!$C64:$AQ64)/Settings!$C$34),"")</f>
        <v/>
      </c>
      <c r="AC64" s="37">
        <f>IF(OR(O64="",V64=""),"",V64-O64)</f>
        <v/>
      </c>
      <c r="AD64" s="37">
        <f>IF(OR(P64="",W64=""),"",W64-P64)</f>
        <v/>
      </c>
      <c r="AE64" s="37">
        <f>IF(OR(Q64="",X64=""),"",X64-Q64)</f>
        <v/>
      </c>
      <c r="AF64" s="37">
        <f>IF(OR(R64="",Y64=""),"",Y64-R64)</f>
        <v/>
      </c>
      <c r="AG64" s="37">
        <f>IF(OR(S64="",Z64=""),"",Z64-S64)</f>
        <v/>
      </c>
      <c r="AH64" s="37">
        <f>IF(OR(T64="",AA64=""),"",AA64-T64)</f>
        <v/>
      </c>
      <c r="AI64" s="37">
        <f>IF(OR(U64="",AB64=""),"",AB64-U64)</f>
        <v/>
      </c>
      <c r="AJ64" s="30">
        <f>IFERROR(IF($G64&lt;&gt;"",INDEX($V$4:$AB$4,MATCH(MIN($V64:$AB64),$V64:$AB64,0)),IF($D64&lt;&gt;"",INDEX($O$4:$U$4,MATCH(MIN($O64:$U64),$O64:$U64,0)),"")),"")</f>
        <v/>
      </c>
      <c r="AK64" s="30">
        <f>IFERROR(IF($G64&lt;&gt;"",INDEX($V$4:$AB$4,MATCH(SMALL($V64:$AB64,2),$V64:$AB64,0)),IF($D64&lt;&gt;"",INDEX($O$4:$U$4,MATCH(SMALL($O64:$U64,2),$O64:$U64,0)),"")),"")</f>
        <v/>
      </c>
      <c r="AL64" s="30">
        <f>IF(OR(G64="",Settings!$B$17=""),"",IF(OR(ABS(G64-Settings!$B$5)&lt;=Settings!$B$17,ABS(G64-Settings!$B$6)&lt;=Settings!$B$17,ABS(G64-Settings!$B$7)&lt;=Settings!$B$17),"NEAR CUT",""))</f>
        <v/>
      </c>
      <c r="AM64" s="31">
        <f>IF('Post-Test Entry'!$AR64&lt;&gt;"","Post essay: code "&amp;'Post-Test Entry'!$AR64,IF('Pre-Test Entry'!$AR64&lt;&gt;"","Pre essay: code "&amp;'Pre-Test Entry'!$AR64,""))</f>
        <v/>
      </c>
      <c r="AN64" s="39">
        <f>IFERROR(IF($AJ64="","",INDEX(Settings!$D$28:$D$34,MATCH($AJ64,Settings!$A$28:$A$34,0))),"")</f>
        <v/>
      </c>
      <c r="AP64">
        <f>IF(D64="","",D64^2)</f>
        <v/>
      </c>
      <c r="AQ64">
        <f>IF(G64="","",G64^2)</f>
        <v/>
      </c>
    </row>
    <row r="65">
      <c r="A65" s="30">
        <f>IF(Roster!$A65="","",Roster!$A65)</f>
        <v/>
      </c>
      <c r="B65" s="31">
        <f>IF(Roster!$B65&lt;&gt;"",Roster!$C65&amp;" "&amp;Roster!$B65,"")</f>
        <v/>
      </c>
      <c r="C65" s="30">
        <f>IF(Roster!$B65&lt;&gt;"",Roster!$D65,"")</f>
        <v/>
      </c>
      <c r="D65" s="16">
        <f>IF(AND(Roster!$B65&lt;&gt;"",COUNT('Pre-Test Entry'!$C65:$AQ65)&gt;0),'Pre-Test Entry'!$AS65,"")</f>
        <v/>
      </c>
      <c r="E65" s="37">
        <f>IFERROR(D65/Settings!$B$8,"")</f>
        <v/>
      </c>
      <c r="F65" s="31">
        <f>IF(D65="","",IF(D65&gt;=Settings!$B$7,"Distinguished Learner",IF(D65&gt;=Settings!$B$6,"Proficient Learner",IF(D65&gt;=Settings!$B$5,"Developing Learner","Beginning Learner"))))</f>
        <v/>
      </c>
      <c r="G65" s="16">
        <f>IF(AND(Roster!$B65&lt;&gt;"",COUNT('Post-Test Entry'!$C65:$AQ65)&gt;0),'Post-Test Entry'!$AS65,"")</f>
        <v/>
      </c>
      <c r="H65" s="37">
        <f>IFERROR(G65/Settings!$B$8,"")</f>
        <v/>
      </c>
      <c r="I65" s="31">
        <f>IF(G65="","",IF(G65&gt;=Settings!$B$7,"Distinguished Learner",IF(G65&gt;=Settings!$B$6,"Proficient Learner",IF(G65&gt;=Settings!$B$5,"Developing Learner","Beginning Learner"))))</f>
        <v/>
      </c>
      <c r="J65" s="16">
        <f>IF(OR(D65="",G65=""),"",G65-D65)</f>
        <v/>
      </c>
      <c r="K65" s="37">
        <f>IFERROR(IF(OR(J65="",J65&lt;=0),"",(G65-D65)/(Settings!$B$8-D65)),"")</f>
        <v/>
      </c>
      <c r="L65" s="38">
        <f>IFERROR(IF(J65="","",(G65-D65)/(Settings!$B$17*SQRT(2))),"")</f>
        <v/>
      </c>
      <c r="M65" s="30">
        <f>IF(L65="","",IF(ABS(L65)&gt;=1.96,"Yes","No"))</f>
        <v/>
      </c>
      <c r="N65" s="30">
        <f>IF(J65="","",IF(J65&gt;=Settings!$B$15,"Yes","No"))</f>
        <v/>
      </c>
      <c r="O65" s="37">
        <f>IFERROR(IF($D65="","",SUMIF('Pre-Test Entry'!$C$3:$AQ$3,Settings!$A$28,'Pre-Test Entry'!$C65:$AQ65)/Settings!$C$28),"")</f>
        <v/>
      </c>
      <c r="P65" s="37">
        <f>IFERROR(IF($D65="","",SUMIF('Pre-Test Entry'!$C$3:$AQ$3,Settings!$A$29,'Pre-Test Entry'!$C65:$AQ65)/Settings!$C$29),"")</f>
        <v/>
      </c>
      <c r="Q65" s="37">
        <f>IFERROR(IF($D65="","",SUMIF('Pre-Test Entry'!$C$3:$AQ$3,Settings!$A$30,'Pre-Test Entry'!$C65:$AQ65)/Settings!$C$30),"")</f>
        <v/>
      </c>
      <c r="R65" s="37">
        <f>IFERROR(IF($D65="","",SUMIF('Pre-Test Entry'!$C$3:$AQ$3,Settings!$A$31,'Pre-Test Entry'!$C65:$AQ65)/Settings!$C$31),"")</f>
        <v/>
      </c>
      <c r="S65" s="37">
        <f>IFERROR(IF($D65="","",SUMIF('Pre-Test Entry'!$C$3:$AQ$3,Settings!$A$32,'Pre-Test Entry'!$C65:$AQ65)/Settings!$C$32),"")</f>
        <v/>
      </c>
      <c r="T65" s="37">
        <f>IFERROR(IF($D65="","",SUMIF('Pre-Test Entry'!$C$3:$AQ$3,Settings!$A$33,'Pre-Test Entry'!$C65:$AQ65)/Settings!$C$33),"")</f>
        <v/>
      </c>
      <c r="U65" s="37">
        <f>IFERROR(IF($D65="","",SUMIF('Pre-Test Entry'!$C$3:$AQ$3,Settings!$A$34,'Pre-Test Entry'!$C65:$AQ65)/Settings!$C$34),"")</f>
        <v/>
      </c>
      <c r="V65" s="37">
        <f>IFERROR(IF($G65="","",SUMIF('Post-Test Entry'!$C$3:$AQ$3,Settings!$A$28,'Post-Test Entry'!$C65:$AQ65)/Settings!$C$28),"")</f>
        <v/>
      </c>
      <c r="W65" s="37">
        <f>IFERROR(IF($G65="","",SUMIF('Post-Test Entry'!$C$3:$AQ$3,Settings!$A$29,'Post-Test Entry'!$C65:$AQ65)/Settings!$C$29),"")</f>
        <v/>
      </c>
      <c r="X65" s="37">
        <f>IFERROR(IF($G65="","",SUMIF('Post-Test Entry'!$C$3:$AQ$3,Settings!$A$30,'Post-Test Entry'!$C65:$AQ65)/Settings!$C$30),"")</f>
        <v/>
      </c>
      <c r="Y65" s="37">
        <f>IFERROR(IF($G65="","",SUMIF('Post-Test Entry'!$C$3:$AQ$3,Settings!$A$31,'Post-Test Entry'!$C65:$AQ65)/Settings!$C$31),"")</f>
        <v/>
      </c>
      <c r="Z65" s="37">
        <f>IFERROR(IF($G65="","",SUMIF('Post-Test Entry'!$C$3:$AQ$3,Settings!$A$32,'Post-Test Entry'!$C65:$AQ65)/Settings!$C$32),"")</f>
        <v/>
      </c>
      <c r="AA65" s="37">
        <f>IFERROR(IF($G65="","",SUMIF('Post-Test Entry'!$C$3:$AQ$3,Settings!$A$33,'Post-Test Entry'!$C65:$AQ65)/Settings!$C$33),"")</f>
        <v/>
      </c>
      <c r="AB65" s="37">
        <f>IFERROR(IF($G65="","",SUMIF('Post-Test Entry'!$C$3:$AQ$3,Settings!$A$34,'Post-Test Entry'!$C65:$AQ65)/Settings!$C$34),"")</f>
        <v/>
      </c>
      <c r="AC65" s="37">
        <f>IF(OR(O65="",V65=""),"",V65-O65)</f>
        <v/>
      </c>
      <c r="AD65" s="37">
        <f>IF(OR(P65="",W65=""),"",W65-P65)</f>
        <v/>
      </c>
      <c r="AE65" s="37">
        <f>IF(OR(Q65="",X65=""),"",X65-Q65)</f>
        <v/>
      </c>
      <c r="AF65" s="37">
        <f>IF(OR(R65="",Y65=""),"",Y65-R65)</f>
        <v/>
      </c>
      <c r="AG65" s="37">
        <f>IF(OR(S65="",Z65=""),"",Z65-S65)</f>
        <v/>
      </c>
      <c r="AH65" s="37">
        <f>IF(OR(T65="",AA65=""),"",AA65-T65)</f>
        <v/>
      </c>
      <c r="AI65" s="37">
        <f>IF(OR(U65="",AB65=""),"",AB65-U65)</f>
        <v/>
      </c>
      <c r="AJ65" s="30">
        <f>IFERROR(IF($G65&lt;&gt;"",INDEX($V$4:$AB$4,MATCH(MIN($V65:$AB65),$V65:$AB65,0)),IF($D65&lt;&gt;"",INDEX($O$4:$U$4,MATCH(MIN($O65:$U65),$O65:$U65,0)),"")),"")</f>
        <v/>
      </c>
      <c r="AK65" s="30">
        <f>IFERROR(IF($G65&lt;&gt;"",INDEX($V$4:$AB$4,MATCH(SMALL($V65:$AB65,2),$V65:$AB65,0)),IF($D65&lt;&gt;"",INDEX($O$4:$U$4,MATCH(SMALL($O65:$U65,2),$O65:$U65,0)),"")),"")</f>
        <v/>
      </c>
      <c r="AL65" s="30">
        <f>IF(OR(G65="",Settings!$B$17=""),"",IF(OR(ABS(G65-Settings!$B$5)&lt;=Settings!$B$17,ABS(G65-Settings!$B$6)&lt;=Settings!$B$17,ABS(G65-Settings!$B$7)&lt;=Settings!$B$17),"NEAR CUT",""))</f>
        <v/>
      </c>
      <c r="AM65" s="31">
        <f>IF('Post-Test Entry'!$AR65&lt;&gt;"","Post essay: code "&amp;'Post-Test Entry'!$AR65,IF('Pre-Test Entry'!$AR65&lt;&gt;"","Pre essay: code "&amp;'Pre-Test Entry'!$AR65,""))</f>
        <v/>
      </c>
      <c r="AN65" s="39">
        <f>IFERROR(IF($AJ65="","",INDEX(Settings!$D$28:$D$34,MATCH($AJ65,Settings!$A$28:$A$34,0))),"")</f>
        <v/>
      </c>
      <c r="AP65">
        <f>IF(D65="","",D65^2)</f>
        <v/>
      </c>
      <c r="AQ65">
        <f>IF(G65="","",G65^2)</f>
        <v/>
      </c>
    </row>
    <row r="66">
      <c r="A66" s="30">
        <f>IF(Roster!$A66="","",Roster!$A66)</f>
        <v/>
      </c>
      <c r="B66" s="31">
        <f>IF(Roster!$B66&lt;&gt;"",Roster!$C66&amp;" "&amp;Roster!$B66,"")</f>
        <v/>
      </c>
      <c r="C66" s="30">
        <f>IF(Roster!$B66&lt;&gt;"",Roster!$D66,"")</f>
        <v/>
      </c>
      <c r="D66" s="16">
        <f>IF(AND(Roster!$B66&lt;&gt;"",COUNT('Pre-Test Entry'!$C66:$AQ66)&gt;0),'Pre-Test Entry'!$AS66,"")</f>
        <v/>
      </c>
      <c r="E66" s="37">
        <f>IFERROR(D66/Settings!$B$8,"")</f>
        <v/>
      </c>
      <c r="F66" s="31">
        <f>IF(D66="","",IF(D66&gt;=Settings!$B$7,"Distinguished Learner",IF(D66&gt;=Settings!$B$6,"Proficient Learner",IF(D66&gt;=Settings!$B$5,"Developing Learner","Beginning Learner"))))</f>
        <v/>
      </c>
      <c r="G66" s="16">
        <f>IF(AND(Roster!$B66&lt;&gt;"",COUNT('Post-Test Entry'!$C66:$AQ66)&gt;0),'Post-Test Entry'!$AS66,"")</f>
        <v/>
      </c>
      <c r="H66" s="37">
        <f>IFERROR(G66/Settings!$B$8,"")</f>
        <v/>
      </c>
      <c r="I66" s="31">
        <f>IF(G66="","",IF(G66&gt;=Settings!$B$7,"Distinguished Learner",IF(G66&gt;=Settings!$B$6,"Proficient Learner",IF(G66&gt;=Settings!$B$5,"Developing Learner","Beginning Learner"))))</f>
        <v/>
      </c>
      <c r="J66" s="16">
        <f>IF(OR(D66="",G66=""),"",G66-D66)</f>
        <v/>
      </c>
      <c r="K66" s="37">
        <f>IFERROR(IF(OR(J66="",J66&lt;=0),"",(G66-D66)/(Settings!$B$8-D66)),"")</f>
        <v/>
      </c>
      <c r="L66" s="38">
        <f>IFERROR(IF(J66="","",(G66-D66)/(Settings!$B$17*SQRT(2))),"")</f>
        <v/>
      </c>
      <c r="M66" s="30">
        <f>IF(L66="","",IF(ABS(L66)&gt;=1.96,"Yes","No"))</f>
        <v/>
      </c>
      <c r="N66" s="30">
        <f>IF(J66="","",IF(J66&gt;=Settings!$B$15,"Yes","No"))</f>
        <v/>
      </c>
      <c r="O66" s="37">
        <f>IFERROR(IF($D66="","",SUMIF('Pre-Test Entry'!$C$3:$AQ$3,Settings!$A$28,'Pre-Test Entry'!$C66:$AQ66)/Settings!$C$28),"")</f>
        <v/>
      </c>
      <c r="P66" s="37">
        <f>IFERROR(IF($D66="","",SUMIF('Pre-Test Entry'!$C$3:$AQ$3,Settings!$A$29,'Pre-Test Entry'!$C66:$AQ66)/Settings!$C$29),"")</f>
        <v/>
      </c>
      <c r="Q66" s="37">
        <f>IFERROR(IF($D66="","",SUMIF('Pre-Test Entry'!$C$3:$AQ$3,Settings!$A$30,'Pre-Test Entry'!$C66:$AQ66)/Settings!$C$30),"")</f>
        <v/>
      </c>
      <c r="R66" s="37">
        <f>IFERROR(IF($D66="","",SUMIF('Pre-Test Entry'!$C$3:$AQ$3,Settings!$A$31,'Pre-Test Entry'!$C66:$AQ66)/Settings!$C$31),"")</f>
        <v/>
      </c>
      <c r="S66" s="37">
        <f>IFERROR(IF($D66="","",SUMIF('Pre-Test Entry'!$C$3:$AQ$3,Settings!$A$32,'Pre-Test Entry'!$C66:$AQ66)/Settings!$C$32),"")</f>
        <v/>
      </c>
      <c r="T66" s="37">
        <f>IFERROR(IF($D66="","",SUMIF('Pre-Test Entry'!$C$3:$AQ$3,Settings!$A$33,'Pre-Test Entry'!$C66:$AQ66)/Settings!$C$33),"")</f>
        <v/>
      </c>
      <c r="U66" s="37">
        <f>IFERROR(IF($D66="","",SUMIF('Pre-Test Entry'!$C$3:$AQ$3,Settings!$A$34,'Pre-Test Entry'!$C66:$AQ66)/Settings!$C$34),"")</f>
        <v/>
      </c>
      <c r="V66" s="37">
        <f>IFERROR(IF($G66="","",SUMIF('Post-Test Entry'!$C$3:$AQ$3,Settings!$A$28,'Post-Test Entry'!$C66:$AQ66)/Settings!$C$28),"")</f>
        <v/>
      </c>
      <c r="W66" s="37">
        <f>IFERROR(IF($G66="","",SUMIF('Post-Test Entry'!$C$3:$AQ$3,Settings!$A$29,'Post-Test Entry'!$C66:$AQ66)/Settings!$C$29),"")</f>
        <v/>
      </c>
      <c r="X66" s="37">
        <f>IFERROR(IF($G66="","",SUMIF('Post-Test Entry'!$C$3:$AQ$3,Settings!$A$30,'Post-Test Entry'!$C66:$AQ66)/Settings!$C$30),"")</f>
        <v/>
      </c>
      <c r="Y66" s="37">
        <f>IFERROR(IF($G66="","",SUMIF('Post-Test Entry'!$C$3:$AQ$3,Settings!$A$31,'Post-Test Entry'!$C66:$AQ66)/Settings!$C$31),"")</f>
        <v/>
      </c>
      <c r="Z66" s="37">
        <f>IFERROR(IF($G66="","",SUMIF('Post-Test Entry'!$C$3:$AQ$3,Settings!$A$32,'Post-Test Entry'!$C66:$AQ66)/Settings!$C$32),"")</f>
        <v/>
      </c>
      <c r="AA66" s="37">
        <f>IFERROR(IF($G66="","",SUMIF('Post-Test Entry'!$C$3:$AQ$3,Settings!$A$33,'Post-Test Entry'!$C66:$AQ66)/Settings!$C$33),"")</f>
        <v/>
      </c>
      <c r="AB66" s="37">
        <f>IFERROR(IF($G66="","",SUMIF('Post-Test Entry'!$C$3:$AQ$3,Settings!$A$34,'Post-Test Entry'!$C66:$AQ66)/Settings!$C$34),"")</f>
        <v/>
      </c>
      <c r="AC66" s="37">
        <f>IF(OR(O66="",V66=""),"",V66-O66)</f>
        <v/>
      </c>
      <c r="AD66" s="37">
        <f>IF(OR(P66="",W66=""),"",W66-P66)</f>
        <v/>
      </c>
      <c r="AE66" s="37">
        <f>IF(OR(Q66="",X66=""),"",X66-Q66)</f>
        <v/>
      </c>
      <c r="AF66" s="37">
        <f>IF(OR(R66="",Y66=""),"",Y66-R66)</f>
        <v/>
      </c>
      <c r="AG66" s="37">
        <f>IF(OR(S66="",Z66=""),"",Z66-S66)</f>
        <v/>
      </c>
      <c r="AH66" s="37">
        <f>IF(OR(T66="",AA66=""),"",AA66-T66)</f>
        <v/>
      </c>
      <c r="AI66" s="37">
        <f>IF(OR(U66="",AB66=""),"",AB66-U66)</f>
        <v/>
      </c>
      <c r="AJ66" s="30">
        <f>IFERROR(IF($G66&lt;&gt;"",INDEX($V$4:$AB$4,MATCH(MIN($V66:$AB66),$V66:$AB66,0)),IF($D66&lt;&gt;"",INDEX($O$4:$U$4,MATCH(MIN($O66:$U66),$O66:$U66,0)),"")),"")</f>
        <v/>
      </c>
      <c r="AK66" s="30">
        <f>IFERROR(IF($G66&lt;&gt;"",INDEX($V$4:$AB$4,MATCH(SMALL($V66:$AB66,2),$V66:$AB66,0)),IF($D66&lt;&gt;"",INDEX($O$4:$U$4,MATCH(SMALL($O66:$U66,2),$O66:$U66,0)),"")),"")</f>
        <v/>
      </c>
      <c r="AL66" s="30">
        <f>IF(OR(G66="",Settings!$B$17=""),"",IF(OR(ABS(G66-Settings!$B$5)&lt;=Settings!$B$17,ABS(G66-Settings!$B$6)&lt;=Settings!$B$17,ABS(G66-Settings!$B$7)&lt;=Settings!$B$17),"NEAR CUT",""))</f>
        <v/>
      </c>
      <c r="AM66" s="31">
        <f>IF('Post-Test Entry'!$AR66&lt;&gt;"","Post essay: code "&amp;'Post-Test Entry'!$AR66,IF('Pre-Test Entry'!$AR66&lt;&gt;"","Pre essay: code "&amp;'Pre-Test Entry'!$AR66,""))</f>
        <v/>
      </c>
      <c r="AN66" s="39">
        <f>IFERROR(IF($AJ66="","",INDEX(Settings!$D$28:$D$34,MATCH($AJ66,Settings!$A$28:$A$34,0))),"")</f>
        <v/>
      </c>
      <c r="AP66">
        <f>IF(D66="","",D66^2)</f>
        <v/>
      </c>
      <c r="AQ66">
        <f>IF(G66="","",G66^2)</f>
        <v/>
      </c>
    </row>
    <row r="67">
      <c r="A67" s="30">
        <f>IF(Roster!$A67="","",Roster!$A67)</f>
        <v/>
      </c>
      <c r="B67" s="31">
        <f>IF(Roster!$B67&lt;&gt;"",Roster!$C67&amp;" "&amp;Roster!$B67,"")</f>
        <v/>
      </c>
      <c r="C67" s="30">
        <f>IF(Roster!$B67&lt;&gt;"",Roster!$D67,"")</f>
        <v/>
      </c>
      <c r="D67" s="16">
        <f>IF(AND(Roster!$B67&lt;&gt;"",COUNT('Pre-Test Entry'!$C67:$AQ67)&gt;0),'Pre-Test Entry'!$AS67,"")</f>
        <v/>
      </c>
      <c r="E67" s="37">
        <f>IFERROR(D67/Settings!$B$8,"")</f>
        <v/>
      </c>
      <c r="F67" s="31">
        <f>IF(D67="","",IF(D67&gt;=Settings!$B$7,"Distinguished Learner",IF(D67&gt;=Settings!$B$6,"Proficient Learner",IF(D67&gt;=Settings!$B$5,"Developing Learner","Beginning Learner"))))</f>
        <v/>
      </c>
      <c r="G67" s="16">
        <f>IF(AND(Roster!$B67&lt;&gt;"",COUNT('Post-Test Entry'!$C67:$AQ67)&gt;0),'Post-Test Entry'!$AS67,"")</f>
        <v/>
      </c>
      <c r="H67" s="37">
        <f>IFERROR(G67/Settings!$B$8,"")</f>
        <v/>
      </c>
      <c r="I67" s="31">
        <f>IF(G67="","",IF(G67&gt;=Settings!$B$7,"Distinguished Learner",IF(G67&gt;=Settings!$B$6,"Proficient Learner",IF(G67&gt;=Settings!$B$5,"Developing Learner","Beginning Learner"))))</f>
        <v/>
      </c>
      <c r="J67" s="16">
        <f>IF(OR(D67="",G67=""),"",G67-D67)</f>
        <v/>
      </c>
      <c r="K67" s="37">
        <f>IFERROR(IF(OR(J67="",J67&lt;=0),"",(G67-D67)/(Settings!$B$8-D67)),"")</f>
        <v/>
      </c>
      <c r="L67" s="38">
        <f>IFERROR(IF(J67="","",(G67-D67)/(Settings!$B$17*SQRT(2))),"")</f>
        <v/>
      </c>
      <c r="M67" s="30">
        <f>IF(L67="","",IF(ABS(L67)&gt;=1.96,"Yes","No"))</f>
        <v/>
      </c>
      <c r="N67" s="30">
        <f>IF(J67="","",IF(J67&gt;=Settings!$B$15,"Yes","No"))</f>
        <v/>
      </c>
      <c r="O67" s="37">
        <f>IFERROR(IF($D67="","",SUMIF('Pre-Test Entry'!$C$3:$AQ$3,Settings!$A$28,'Pre-Test Entry'!$C67:$AQ67)/Settings!$C$28),"")</f>
        <v/>
      </c>
      <c r="P67" s="37">
        <f>IFERROR(IF($D67="","",SUMIF('Pre-Test Entry'!$C$3:$AQ$3,Settings!$A$29,'Pre-Test Entry'!$C67:$AQ67)/Settings!$C$29),"")</f>
        <v/>
      </c>
      <c r="Q67" s="37">
        <f>IFERROR(IF($D67="","",SUMIF('Pre-Test Entry'!$C$3:$AQ$3,Settings!$A$30,'Pre-Test Entry'!$C67:$AQ67)/Settings!$C$30),"")</f>
        <v/>
      </c>
      <c r="R67" s="37">
        <f>IFERROR(IF($D67="","",SUMIF('Pre-Test Entry'!$C$3:$AQ$3,Settings!$A$31,'Pre-Test Entry'!$C67:$AQ67)/Settings!$C$31),"")</f>
        <v/>
      </c>
      <c r="S67" s="37">
        <f>IFERROR(IF($D67="","",SUMIF('Pre-Test Entry'!$C$3:$AQ$3,Settings!$A$32,'Pre-Test Entry'!$C67:$AQ67)/Settings!$C$32),"")</f>
        <v/>
      </c>
      <c r="T67" s="37">
        <f>IFERROR(IF($D67="","",SUMIF('Pre-Test Entry'!$C$3:$AQ$3,Settings!$A$33,'Pre-Test Entry'!$C67:$AQ67)/Settings!$C$33),"")</f>
        <v/>
      </c>
      <c r="U67" s="37">
        <f>IFERROR(IF($D67="","",SUMIF('Pre-Test Entry'!$C$3:$AQ$3,Settings!$A$34,'Pre-Test Entry'!$C67:$AQ67)/Settings!$C$34),"")</f>
        <v/>
      </c>
      <c r="V67" s="37">
        <f>IFERROR(IF($G67="","",SUMIF('Post-Test Entry'!$C$3:$AQ$3,Settings!$A$28,'Post-Test Entry'!$C67:$AQ67)/Settings!$C$28),"")</f>
        <v/>
      </c>
      <c r="W67" s="37">
        <f>IFERROR(IF($G67="","",SUMIF('Post-Test Entry'!$C$3:$AQ$3,Settings!$A$29,'Post-Test Entry'!$C67:$AQ67)/Settings!$C$29),"")</f>
        <v/>
      </c>
      <c r="X67" s="37">
        <f>IFERROR(IF($G67="","",SUMIF('Post-Test Entry'!$C$3:$AQ$3,Settings!$A$30,'Post-Test Entry'!$C67:$AQ67)/Settings!$C$30),"")</f>
        <v/>
      </c>
      <c r="Y67" s="37">
        <f>IFERROR(IF($G67="","",SUMIF('Post-Test Entry'!$C$3:$AQ$3,Settings!$A$31,'Post-Test Entry'!$C67:$AQ67)/Settings!$C$31),"")</f>
        <v/>
      </c>
      <c r="Z67" s="37">
        <f>IFERROR(IF($G67="","",SUMIF('Post-Test Entry'!$C$3:$AQ$3,Settings!$A$32,'Post-Test Entry'!$C67:$AQ67)/Settings!$C$32),"")</f>
        <v/>
      </c>
      <c r="AA67" s="37">
        <f>IFERROR(IF($G67="","",SUMIF('Post-Test Entry'!$C$3:$AQ$3,Settings!$A$33,'Post-Test Entry'!$C67:$AQ67)/Settings!$C$33),"")</f>
        <v/>
      </c>
      <c r="AB67" s="37">
        <f>IFERROR(IF($G67="","",SUMIF('Post-Test Entry'!$C$3:$AQ$3,Settings!$A$34,'Post-Test Entry'!$C67:$AQ67)/Settings!$C$34),"")</f>
        <v/>
      </c>
      <c r="AC67" s="37">
        <f>IF(OR(O67="",V67=""),"",V67-O67)</f>
        <v/>
      </c>
      <c r="AD67" s="37">
        <f>IF(OR(P67="",W67=""),"",W67-P67)</f>
        <v/>
      </c>
      <c r="AE67" s="37">
        <f>IF(OR(Q67="",X67=""),"",X67-Q67)</f>
        <v/>
      </c>
      <c r="AF67" s="37">
        <f>IF(OR(R67="",Y67=""),"",Y67-R67)</f>
        <v/>
      </c>
      <c r="AG67" s="37">
        <f>IF(OR(S67="",Z67=""),"",Z67-S67)</f>
        <v/>
      </c>
      <c r="AH67" s="37">
        <f>IF(OR(T67="",AA67=""),"",AA67-T67)</f>
        <v/>
      </c>
      <c r="AI67" s="37">
        <f>IF(OR(U67="",AB67=""),"",AB67-U67)</f>
        <v/>
      </c>
      <c r="AJ67" s="30">
        <f>IFERROR(IF($G67&lt;&gt;"",INDEX($V$4:$AB$4,MATCH(MIN($V67:$AB67),$V67:$AB67,0)),IF($D67&lt;&gt;"",INDEX($O$4:$U$4,MATCH(MIN($O67:$U67),$O67:$U67,0)),"")),"")</f>
        <v/>
      </c>
      <c r="AK67" s="30">
        <f>IFERROR(IF($G67&lt;&gt;"",INDEX($V$4:$AB$4,MATCH(SMALL($V67:$AB67,2),$V67:$AB67,0)),IF($D67&lt;&gt;"",INDEX($O$4:$U$4,MATCH(SMALL($O67:$U67,2),$O67:$U67,0)),"")),"")</f>
        <v/>
      </c>
      <c r="AL67" s="30">
        <f>IF(OR(G67="",Settings!$B$17=""),"",IF(OR(ABS(G67-Settings!$B$5)&lt;=Settings!$B$17,ABS(G67-Settings!$B$6)&lt;=Settings!$B$17,ABS(G67-Settings!$B$7)&lt;=Settings!$B$17),"NEAR CUT",""))</f>
        <v/>
      </c>
      <c r="AM67" s="31">
        <f>IF('Post-Test Entry'!$AR67&lt;&gt;"","Post essay: code "&amp;'Post-Test Entry'!$AR67,IF('Pre-Test Entry'!$AR67&lt;&gt;"","Pre essay: code "&amp;'Pre-Test Entry'!$AR67,""))</f>
        <v/>
      </c>
      <c r="AN67" s="39">
        <f>IFERROR(IF($AJ67="","",INDEX(Settings!$D$28:$D$34,MATCH($AJ67,Settings!$A$28:$A$34,0))),"")</f>
        <v/>
      </c>
      <c r="AP67">
        <f>IF(D67="","",D67^2)</f>
        <v/>
      </c>
      <c r="AQ67">
        <f>IF(G67="","",G67^2)</f>
        <v/>
      </c>
    </row>
    <row r="68">
      <c r="A68" s="30">
        <f>IF(Roster!$A68="","",Roster!$A68)</f>
        <v/>
      </c>
      <c r="B68" s="31">
        <f>IF(Roster!$B68&lt;&gt;"",Roster!$C68&amp;" "&amp;Roster!$B68,"")</f>
        <v/>
      </c>
      <c r="C68" s="30">
        <f>IF(Roster!$B68&lt;&gt;"",Roster!$D68,"")</f>
        <v/>
      </c>
      <c r="D68" s="16">
        <f>IF(AND(Roster!$B68&lt;&gt;"",COUNT('Pre-Test Entry'!$C68:$AQ68)&gt;0),'Pre-Test Entry'!$AS68,"")</f>
        <v/>
      </c>
      <c r="E68" s="37">
        <f>IFERROR(D68/Settings!$B$8,"")</f>
        <v/>
      </c>
      <c r="F68" s="31">
        <f>IF(D68="","",IF(D68&gt;=Settings!$B$7,"Distinguished Learner",IF(D68&gt;=Settings!$B$6,"Proficient Learner",IF(D68&gt;=Settings!$B$5,"Developing Learner","Beginning Learner"))))</f>
        <v/>
      </c>
      <c r="G68" s="16">
        <f>IF(AND(Roster!$B68&lt;&gt;"",COUNT('Post-Test Entry'!$C68:$AQ68)&gt;0),'Post-Test Entry'!$AS68,"")</f>
        <v/>
      </c>
      <c r="H68" s="37">
        <f>IFERROR(G68/Settings!$B$8,"")</f>
        <v/>
      </c>
      <c r="I68" s="31">
        <f>IF(G68="","",IF(G68&gt;=Settings!$B$7,"Distinguished Learner",IF(G68&gt;=Settings!$B$6,"Proficient Learner",IF(G68&gt;=Settings!$B$5,"Developing Learner","Beginning Learner"))))</f>
        <v/>
      </c>
      <c r="J68" s="16">
        <f>IF(OR(D68="",G68=""),"",G68-D68)</f>
        <v/>
      </c>
      <c r="K68" s="37">
        <f>IFERROR(IF(OR(J68="",J68&lt;=0),"",(G68-D68)/(Settings!$B$8-D68)),"")</f>
        <v/>
      </c>
      <c r="L68" s="38">
        <f>IFERROR(IF(J68="","",(G68-D68)/(Settings!$B$17*SQRT(2))),"")</f>
        <v/>
      </c>
      <c r="M68" s="30">
        <f>IF(L68="","",IF(ABS(L68)&gt;=1.96,"Yes","No"))</f>
        <v/>
      </c>
      <c r="N68" s="30">
        <f>IF(J68="","",IF(J68&gt;=Settings!$B$15,"Yes","No"))</f>
        <v/>
      </c>
      <c r="O68" s="37">
        <f>IFERROR(IF($D68="","",SUMIF('Pre-Test Entry'!$C$3:$AQ$3,Settings!$A$28,'Pre-Test Entry'!$C68:$AQ68)/Settings!$C$28),"")</f>
        <v/>
      </c>
      <c r="P68" s="37">
        <f>IFERROR(IF($D68="","",SUMIF('Pre-Test Entry'!$C$3:$AQ$3,Settings!$A$29,'Pre-Test Entry'!$C68:$AQ68)/Settings!$C$29),"")</f>
        <v/>
      </c>
      <c r="Q68" s="37">
        <f>IFERROR(IF($D68="","",SUMIF('Pre-Test Entry'!$C$3:$AQ$3,Settings!$A$30,'Pre-Test Entry'!$C68:$AQ68)/Settings!$C$30),"")</f>
        <v/>
      </c>
      <c r="R68" s="37">
        <f>IFERROR(IF($D68="","",SUMIF('Pre-Test Entry'!$C$3:$AQ$3,Settings!$A$31,'Pre-Test Entry'!$C68:$AQ68)/Settings!$C$31),"")</f>
        <v/>
      </c>
      <c r="S68" s="37">
        <f>IFERROR(IF($D68="","",SUMIF('Pre-Test Entry'!$C$3:$AQ$3,Settings!$A$32,'Pre-Test Entry'!$C68:$AQ68)/Settings!$C$32),"")</f>
        <v/>
      </c>
      <c r="T68" s="37">
        <f>IFERROR(IF($D68="","",SUMIF('Pre-Test Entry'!$C$3:$AQ$3,Settings!$A$33,'Pre-Test Entry'!$C68:$AQ68)/Settings!$C$33),"")</f>
        <v/>
      </c>
      <c r="U68" s="37">
        <f>IFERROR(IF($D68="","",SUMIF('Pre-Test Entry'!$C$3:$AQ$3,Settings!$A$34,'Pre-Test Entry'!$C68:$AQ68)/Settings!$C$34),"")</f>
        <v/>
      </c>
      <c r="V68" s="37">
        <f>IFERROR(IF($G68="","",SUMIF('Post-Test Entry'!$C$3:$AQ$3,Settings!$A$28,'Post-Test Entry'!$C68:$AQ68)/Settings!$C$28),"")</f>
        <v/>
      </c>
      <c r="W68" s="37">
        <f>IFERROR(IF($G68="","",SUMIF('Post-Test Entry'!$C$3:$AQ$3,Settings!$A$29,'Post-Test Entry'!$C68:$AQ68)/Settings!$C$29),"")</f>
        <v/>
      </c>
      <c r="X68" s="37">
        <f>IFERROR(IF($G68="","",SUMIF('Post-Test Entry'!$C$3:$AQ$3,Settings!$A$30,'Post-Test Entry'!$C68:$AQ68)/Settings!$C$30),"")</f>
        <v/>
      </c>
      <c r="Y68" s="37">
        <f>IFERROR(IF($G68="","",SUMIF('Post-Test Entry'!$C$3:$AQ$3,Settings!$A$31,'Post-Test Entry'!$C68:$AQ68)/Settings!$C$31),"")</f>
        <v/>
      </c>
      <c r="Z68" s="37">
        <f>IFERROR(IF($G68="","",SUMIF('Post-Test Entry'!$C$3:$AQ$3,Settings!$A$32,'Post-Test Entry'!$C68:$AQ68)/Settings!$C$32),"")</f>
        <v/>
      </c>
      <c r="AA68" s="37">
        <f>IFERROR(IF($G68="","",SUMIF('Post-Test Entry'!$C$3:$AQ$3,Settings!$A$33,'Post-Test Entry'!$C68:$AQ68)/Settings!$C$33),"")</f>
        <v/>
      </c>
      <c r="AB68" s="37">
        <f>IFERROR(IF($G68="","",SUMIF('Post-Test Entry'!$C$3:$AQ$3,Settings!$A$34,'Post-Test Entry'!$C68:$AQ68)/Settings!$C$34),"")</f>
        <v/>
      </c>
      <c r="AC68" s="37">
        <f>IF(OR(O68="",V68=""),"",V68-O68)</f>
        <v/>
      </c>
      <c r="AD68" s="37">
        <f>IF(OR(P68="",W68=""),"",W68-P68)</f>
        <v/>
      </c>
      <c r="AE68" s="37">
        <f>IF(OR(Q68="",X68=""),"",X68-Q68)</f>
        <v/>
      </c>
      <c r="AF68" s="37">
        <f>IF(OR(R68="",Y68=""),"",Y68-R68)</f>
        <v/>
      </c>
      <c r="AG68" s="37">
        <f>IF(OR(S68="",Z68=""),"",Z68-S68)</f>
        <v/>
      </c>
      <c r="AH68" s="37">
        <f>IF(OR(T68="",AA68=""),"",AA68-T68)</f>
        <v/>
      </c>
      <c r="AI68" s="37">
        <f>IF(OR(U68="",AB68=""),"",AB68-U68)</f>
        <v/>
      </c>
      <c r="AJ68" s="30">
        <f>IFERROR(IF($G68&lt;&gt;"",INDEX($V$4:$AB$4,MATCH(MIN($V68:$AB68),$V68:$AB68,0)),IF($D68&lt;&gt;"",INDEX($O$4:$U$4,MATCH(MIN($O68:$U68),$O68:$U68,0)),"")),"")</f>
        <v/>
      </c>
      <c r="AK68" s="30">
        <f>IFERROR(IF($G68&lt;&gt;"",INDEX($V$4:$AB$4,MATCH(SMALL($V68:$AB68,2),$V68:$AB68,0)),IF($D68&lt;&gt;"",INDEX($O$4:$U$4,MATCH(SMALL($O68:$U68,2),$O68:$U68,0)),"")),"")</f>
        <v/>
      </c>
      <c r="AL68" s="30">
        <f>IF(OR(G68="",Settings!$B$17=""),"",IF(OR(ABS(G68-Settings!$B$5)&lt;=Settings!$B$17,ABS(G68-Settings!$B$6)&lt;=Settings!$B$17,ABS(G68-Settings!$B$7)&lt;=Settings!$B$17),"NEAR CUT",""))</f>
        <v/>
      </c>
      <c r="AM68" s="31">
        <f>IF('Post-Test Entry'!$AR68&lt;&gt;"","Post essay: code "&amp;'Post-Test Entry'!$AR68,IF('Pre-Test Entry'!$AR68&lt;&gt;"","Pre essay: code "&amp;'Pre-Test Entry'!$AR68,""))</f>
        <v/>
      </c>
      <c r="AN68" s="39">
        <f>IFERROR(IF($AJ68="","",INDEX(Settings!$D$28:$D$34,MATCH($AJ68,Settings!$A$28:$A$34,0))),"")</f>
        <v/>
      </c>
      <c r="AP68">
        <f>IF(D68="","",D68^2)</f>
        <v/>
      </c>
      <c r="AQ68">
        <f>IF(G68="","",G68^2)</f>
        <v/>
      </c>
    </row>
    <row r="69">
      <c r="A69" s="30">
        <f>IF(Roster!$A69="","",Roster!$A69)</f>
        <v/>
      </c>
      <c r="B69" s="31">
        <f>IF(Roster!$B69&lt;&gt;"",Roster!$C69&amp;" "&amp;Roster!$B69,"")</f>
        <v/>
      </c>
      <c r="C69" s="30">
        <f>IF(Roster!$B69&lt;&gt;"",Roster!$D69,"")</f>
        <v/>
      </c>
      <c r="D69" s="16">
        <f>IF(AND(Roster!$B69&lt;&gt;"",COUNT('Pre-Test Entry'!$C69:$AQ69)&gt;0),'Pre-Test Entry'!$AS69,"")</f>
        <v/>
      </c>
      <c r="E69" s="37">
        <f>IFERROR(D69/Settings!$B$8,"")</f>
        <v/>
      </c>
      <c r="F69" s="31">
        <f>IF(D69="","",IF(D69&gt;=Settings!$B$7,"Distinguished Learner",IF(D69&gt;=Settings!$B$6,"Proficient Learner",IF(D69&gt;=Settings!$B$5,"Developing Learner","Beginning Learner"))))</f>
        <v/>
      </c>
      <c r="G69" s="16">
        <f>IF(AND(Roster!$B69&lt;&gt;"",COUNT('Post-Test Entry'!$C69:$AQ69)&gt;0),'Post-Test Entry'!$AS69,"")</f>
        <v/>
      </c>
      <c r="H69" s="37">
        <f>IFERROR(G69/Settings!$B$8,"")</f>
        <v/>
      </c>
      <c r="I69" s="31">
        <f>IF(G69="","",IF(G69&gt;=Settings!$B$7,"Distinguished Learner",IF(G69&gt;=Settings!$B$6,"Proficient Learner",IF(G69&gt;=Settings!$B$5,"Developing Learner","Beginning Learner"))))</f>
        <v/>
      </c>
      <c r="J69" s="16">
        <f>IF(OR(D69="",G69=""),"",G69-D69)</f>
        <v/>
      </c>
      <c r="K69" s="37">
        <f>IFERROR(IF(OR(J69="",J69&lt;=0),"",(G69-D69)/(Settings!$B$8-D69)),"")</f>
        <v/>
      </c>
      <c r="L69" s="38">
        <f>IFERROR(IF(J69="","",(G69-D69)/(Settings!$B$17*SQRT(2))),"")</f>
        <v/>
      </c>
      <c r="M69" s="30">
        <f>IF(L69="","",IF(ABS(L69)&gt;=1.96,"Yes","No"))</f>
        <v/>
      </c>
      <c r="N69" s="30">
        <f>IF(J69="","",IF(J69&gt;=Settings!$B$15,"Yes","No"))</f>
        <v/>
      </c>
      <c r="O69" s="37">
        <f>IFERROR(IF($D69="","",SUMIF('Pre-Test Entry'!$C$3:$AQ$3,Settings!$A$28,'Pre-Test Entry'!$C69:$AQ69)/Settings!$C$28),"")</f>
        <v/>
      </c>
      <c r="P69" s="37">
        <f>IFERROR(IF($D69="","",SUMIF('Pre-Test Entry'!$C$3:$AQ$3,Settings!$A$29,'Pre-Test Entry'!$C69:$AQ69)/Settings!$C$29),"")</f>
        <v/>
      </c>
      <c r="Q69" s="37">
        <f>IFERROR(IF($D69="","",SUMIF('Pre-Test Entry'!$C$3:$AQ$3,Settings!$A$30,'Pre-Test Entry'!$C69:$AQ69)/Settings!$C$30),"")</f>
        <v/>
      </c>
      <c r="R69" s="37">
        <f>IFERROR(IF($D69="","",SUMIF('Pre-Test Entry'!$C$3:$AQ$3,Settings!$A$31,'Pre-Test Entry'!$C69:$AQ69)/Settings!$C$31),"")</f>
        <v/>
      </c>
      <c r="S69" s="37">
        <f>IFERROR(IF($D69="","",SUMIF('Pre-Test Entry'!$C$3:$AQ$3,Settings!$A$32,'Pre-Test Entry'!$C69:$AQ69)/Settings!$C$32),"")</f>
        <v/>
      </c>
      <c r="T69" s="37">
        <f>IFERROR(IF($D69="","",SUMIF('Pre-Test Entry'!$C$3:$AQ$3,Settings!$A$33,'Pre-Test Entry'!$C69:$AQ69)/Settings!$C$33),"")</f>
        <v/>
      </c>
      <c r="U69" s="37">
        <f>IFERROR(IF($D69="","",SUMIF('Pre-Test Entry'!$C$3:$AQ$3,Settings!$A$34,'Pre-Test Entry'!$C69:$AQ69)/Settings!$C$34),"")</f>
        <v/>
      </c>
      <c r="V69" s="37">
        <f>IFERROR(IF($G69="","",SUMIF('Post-Test Entry'!$C$3:$AQ$3,Settings!$A$28,'Post-Test Entry'!$C69:$AQ69)/Settings!$C$28),"")</f>
        <v/>
      </c>
      <c r="W69" s="37">
        <f>IFERROR(IF($G69="","",SUMIF('Post-Test Entry'!$C$3:$AQ$3,Settings!$A$29,'Post-Test Entry'!$C69:$AQ69)/Settings!$C$29),"")</f>
        <v/>
      </c>
      <c r="X69" s="37">
        <f>IFERROR(IF($G69="","",SUMIF('Post-Test Entry'!$C$3:$AQ$3,Settings!$A$30,'Post-Test Entry'!$C69:$AQ69)/Settings!$C$30),"")</f>
        <v/>
      </c>
      <c r="Y69" s="37">
        <f>IFERROR(IF($G69="","",SUMIF('Post-Test Entry'!$C$3:$AQ$3,Settings!$A$31,'Post-Test Entry'!$C69:$AQ69)/Settings!$C$31),"")</f>
        <v/>
      </c>
      <c r="Z69" s="37">
        <f>IFERROR(IF($G69="","",SUMIF('Post-Test Entry'!$C$3:$AQ$3,Settings!$A$32,'Post-Test Entry'!$C69:$AQ69)/Settings!$C$32),"")</f>
        <v/>
      </c>
      <c r="AA69" s="37">
        <f>IFERROR(IF($G69="","",SUMIF('Post-Test Entry'!$C$3:$AQ$3,Settings!$A$33,'Post-Test Entry'!$C69:$AQ69)/Settings!$C$33),"")</f>
        <v/>
      </c>
      <c r="AB69" s="37">
        <f>IFERROR(IF($G69="","",SUMIF('Post-Test Entry'!$C$3:$AQ$3,Settings!$A$34,'Post-Test Entry'!$C69:$AQ69)/Settings!$C$34),"")</f>
        <v/>
      </c>
      <c r="AC69" s="37">
        <f>IF(OR(O69="",V69=""),"",V69-O69)</f>
        <v/>
      </c>
      <c r="AD69" s="37">
        <f>IF(OR(P69="",W69=""),"",W69-P69)</f>
        <v/>
      </c>
      <c r="AE69" s="37">
        <f>IF(OR(Q69="",X69=""),"",X69-Q69)</f>
        <v/>
      </c>
      <c r="AF69" s="37">
        <f>IF(OR(R69="",Y69=""),"",Y69-R69)</f>
        <v/>
      </c>
      <c r="AG69" s="37">
        <f>IF(OR(S69="",Z69=""),"",Z69-S69)</f>
        <v/>
      </c>
      <c r="AH69" s="37">
        <f>IF(OR(T69="",AA69=""),"",AA69-T69)</f>
        <v/>
      </c>
      <c r="AI69" s="37">
        <f>IF(OR(U69="",AB69=""),"",AB69-U69)</f>
        <v/>
      </c>
      <c r="AJ69" s="30">
        <f>IFERROR(IF($G69&lt;&gt;"",INDEX($V$4:$AB$4,MATCH(MIN($V69:$AB69),$V69:$AB69,0)),IF($D69&lt;&gt;"",INDEX($O$4:$U$4,MATCH(MIN($O69:$U69),$O69:$U69,0)),"")),"")</f>
        <v/>
      </c>
      <c r="AK69" s="30">
        <f>IFERROR(IF($G69&lt;&gt;"",INDEX($V$4:$AB$4,MATCH(SMALL($V69:$AB69,2),$V69:$AB69,0)),IF($D69&lt;&gt;"",INDEX($O$4:$U$4,MATCH(SMALL($O69:$U69,2),$O69:$U69,0)),"")),"")</f>
        <v/>
      </c>
      <c r="AL69" s="30">
        <f>IF(OR(G69="",Settings!$B$17=""),"",IF(OR(ABS(G69-Settings!$B$5)&lt;=Settings!$B$17,ABS(G69-Settings!$B$6)&lt;=Settings!$B$17,ABS(G69-Settings!$B$7)&lt;=Settings!$B$17),"NEAR CUT",""))</f>
        <v/>
      </c>
      <c r="AM69" s="31">
        <f>IF('Post-Test Entry'!$AR69&lt;&gt;"","Post essay: code "&amp;'Post-Test Entry'!$AR69,IF('Pre-Test Entry'!$AR69&lt;&gt;"","Pre essay: code "&amp;'Pre-Test Entry'!$AR69,""))</f>
        <v/>
      </c>
      <c r="AN69" s="39">
        <f>IFERROR(IF($AJ69="","",INDEX(Settings!$D$28:$D$34,MATCH($AJ69,Settings!$A$28:$A$34,0))),"")</f>
        <v/>
      </c>
      <c r="AP69">
        <f>IF(D69="","",D69^2)</f>
        <v/>
      </c>
      <c r="AQ69">
        <f>IF(G69="","",G69^2)</f>
        <v/>
      </c>
    </row>
    <row r="70">
      <c r="A70" s="30">
        <f>IF(Roster!$A70="","",Roster!$A70)</f>
        <v/>
      </c>
      <c r="B70" s="31">
        <f>IF(Roster!$B70&lt;&gt;"",Roster!$C70&amp;" "&amp;Roster!$B70,"")</f>
        <v/>
      </c>
      <c r="C70" s="30">
        <f>IF(Roster!$B70&lt;&gt;"",Roster!$D70,"")</f>
        <v/>
      </c>
      <c r="D70" s="16">
        <f>IF(AND(Roster!$B70&lt;&gt;"",COUNT('Pre-Test Entry'!$C70:$AQ70)&gt;0),'Pre-Test Entry'!$AS70,"")</f>
        <v/>
      </c>
      <c r="E70" s="37">
        <f>IFERROR(D70/Settings!$B$8,"")</f>
        <v/>
      </c>
      <c r="F70" s="31">
        <f>IF(D70="","",IF(D70&gt;=Settings!$B$7,"Distinguished Learner",IF(D70&gt;=Settings!$B$6,"Proficient Learner",IF(D70&gt;=Settings!$B$5,"Developing Learner","Beginning Learner"))))</f>
        <v/>
      </c>
      <c r="G70" s="16">
        <f>IF(AND(Roster!$B70&lt;&gt;"",COUNT('Post-Test Entry'!$C70:$AQ70)&gt;0),'Post-Test Entry'!$AS70,"")</f>
        <v/>
      </c>
      <c r="H70" s="37">
        <f>IFERROR(G70/Settings!$B$8,"")</f>
        <v/>
      </c>
      <c r="I70" s="31">
        <f>IF(G70="","",IF(G70&gt;=Settings!$B$7,"Distinguished Learner",IF(G70&gt;=Settings!$B$6,"Proficient Learner",IF(G70&gt;=Settings!$B$5,"Developing Learner","Beginning Learner"))))</f>
        <v/>
      </c>
      <c r="J70" s="16">
        <f>IF(OR(D70="",G70=""),"",G70-D70)</f>
        <v/>
      </c>
      <c r="K70" s="37">
        <f>IFERROR(IF(OR(J70="",J70&lt;=0),"",(G70-D70)/(Settings!$B$8-D70)),"")</f>
        <v/>
      </c>
      <c r="L70" s="38">
        <f>IFERROR(IF(J70="","",(G70-D70)/(Settings!$B$17*SQRT(2))),"")</f>
        <v/>
      </c>
      <c r="M70" s="30">
        <f>IF(L70="","",IF(ABS(L70)&gt;=1.96,"Yes","No"))</f>
        <v/>
      </c>
      <c r="N70" s="30">
        <f>IF(J70="","",IF(J70&gt;=Settings!$B$15,"Yes","No"))</f>
        <v/>
      </c>
      <c r="O70" s="37">
        <f>IFERROR(IF($D70="","",SUMIF('Pre-Test Entry'!$C$3:$AQ$3,Settings!$A$28,'Pre-Test Entry'!$C70:$AQ70)/Settings!$C$28),"")</f>
        <v/>
      </c>
      <c r="P70" s="37">
        <f>IFERROR(IF($D70="","",SUMIF('Pre-Test Entry'!$C$3:$AQ$3,Settings!$A$29,'Pre-Test Entry'!$C70:$AQ70)/Settings!$C$29),"")</f>
        <v/>
      </c>
      <c r="Q70" s="37">
        <f>IFERROR(IF($D70="","",SUMIF('Pre-Test Entry'!$C$3:$AQ$3,Settings!$A$30,'Pre-Test Entry'!$C70:$AQ70)/Settings!$C$30),"")</f>
        <v/>
      </c>
      <c r="R70" s="37">
        <f>IFERROR(IF($D70="","",SUMIF('Pre-Test Entry'!$C$3:$AQ$3,Settings!$A$31,'Pre-Test Entry'!$C70:$AQ70)/Settings!$C$31),"")</f>
        <v/>
      </c>
      <c r="S70" s="37">
        <f>IFERROR(IF($D70="","",SUMIF('Pre-Test Entry'!$C$3:$AQ$3,Settings!$A$32,'Pre-Test Entry'!$C70:$AQ70)/Settings!$C$32),"")</f>
        <v/>
      </c>
      <c r="T70" s="37">
        <f>IFERROR(IF($D70="","",SUMIF('Pre-Test Entry'!$C$3:$AQ$3,Settings!$A$33,'Pre-Test Entry'!$C70:$AQ70)/Settings!$C$33),"")</f>
        <v/>
      </c>
      <c r="U70" s="37">
        <f>IFERROR(IF($D70="","",SUMIF('Pre-Test Entry'!$C$3:$AQ$3,Settings!$A$34,'Pre-Test Entry'!$C70:$AQ70)/Settings!$C$34),"")</f>
        <v/>
      </c>
      <c r="V70" s="37">
        <f>IFERROR(IF($G70="","",SUMIF('Post-Test Entry'!$C$3:$AQ$3,Settings!$A$28,'Post-Test Entry'!$C70:$AQ70)/Settings!$C$28),"")</f>
        <v/>
      </c>
      <c r="W70" s="37">
        <f>IFERROR(IF($G70="","",SUMIF('Post-Test Entry'!$C$3:$AQ$3,Settings!$A$29,'Post-Test Entry'!$C70:$AQ70)/Settings!$C$29),"")</f>
        <v/>
      </c>
      <c r="X70" s="37">
        <f>IFERROR(IF($G70="","",SUMIF('Post-Test Entry'!$C$3:$AQ$3,Settings!$A$30,'Post-Test Entry'!$C70:$AQ70)/Settings!$C$30),"")</f>
        <v/>
      </c>
      <c r="Y70" s="37">
        <f>IFERROR(IF($G70="","",SUMIF('Post-Test Entry'!$C$3:$AQ$3,Settings!$A$31,'Post-Test Entry'!$C70:$AQ70)/Settings!$C$31),"")</f>
        <v/>
      </c>
      <c r="Z70" s="37">
        <f>IFERROR(IF($G70="","",SUMIF('Post-Test Entry'!$C$3:$AQ$3,Settings!$A$32,'Post-Test Entry'!$C70:$AQ70)/Settings!$C$32),"")</f>
        <v/>
      </c>
      <c r="AA70" s="37">
        <f>IFERROR(IF($G70="","",SUMIF('Post-Test Entry'!$C$3:$AQ$3,Settings!$A$33,'Post-Test Entry'!$C70:$AQ70)/Settings!$C$33),"")</f>
        <v/>
      </c>
      <c r="AB70" s="37">
        <f>IFERROR(IF($G70="","",SUMIF('Post-Test Entry'!$C$3:$AQ$3,Settings!$A$34,'Post-Test Entry'!$C70:$AQ70)/Settings!$C$34),"")</f>
        <v/>
      </c>
      <c r="AC70" s="37">
        <f>IF(OR(O70="",V70=""),"",V70-O70)</f>
        <v/>
      </c>
      <c r="AD70" s="37">
        <f>IF(OR(P70="",W70=""),"",W70-P70)</f>
        <v/>
      </c>
      <c r="AE70" s="37">
        <f>IF(OR(Q70="",X70=""),"",X70-Q70)</f>
        <v/>
      </c>
      <c r="AF70" s="37">
        <f>IF(OR(R70="",Y70=""),"",Y70-R70)</f>
        <v/>
      </c>
      <c r="AG70" s="37">
        <f>IF(OR(S70="",Z70=""),"",Z70-S70)</f>
        <v/>
      </c>
      <c r="AH70" s="37">
        <f>IF(OR(T70="",AA70=""),"",AA70-T70)</f>
        <v/>
      </c>
      <c r="AI70" s="37">
        <f>IF(OR(U70="",AB70=""),"",AB70-U70)</f>
        <v/>
      </c>
      <c r="AJ70" s="30">
        <f>IFERROR(IF($G70&lt;&gt;"",INDEX($V$4:$AB$4,MATCH(MIN($V70:$AB70),$V70:$AB70,0)),IF($D70&lt;&gt;"",INDEX($O$4:$U$4,MATCH(MIN($O70:$U70),$O70:$U70,0)),"")),"")</f>
        <v/>
      </c>
      <c r="AK70" s="30">
        <f>IFERROR(IF($G70&lt;&gt;"",INDEX($V$4:$AB$4,MATCH(SMALL($V70:$AB70,2),$V70:$AB70,0)),IF($D70&lt;&gt;"",INDEX($O$4:$U$4,MATCH(SMALL($O70:$U70,2),$O70:$U70,0)),"")),"")</f>
        <v/>
      </c>
      <c r="AL70" s="30">
        <f>IF(OR(G70="",Settings!$B$17=""),"",IF(OR(ABS(G70-Settings!$B$5)&lt;=Settings!$B$17,ABS(G70-Settings!$B$6)&lt;=Settings!$B$17,ABS(G70-Settings!$B$7)&lt;=Settings!$B$17),"NEAR CUT",""))</f>
        <v/>
      </c>
      <c r="AM70" s="31">
        <f>IF('Post-Test Entry'!$AR70&lt;&gt;"","Post essay: code "&amp;'Post-Test Entry'!$AR70,IF('Pre-Test Entry'!$AR70&lt;&gt;"","Pre essay: code "&amp;'Pre-Test Entry'!$AR70,""))</f>
        <v/>
      </c>
      <c r="AN70" s="39">
        <f>IFERROR(IF($AJ70="","",INDEX(Settings!$D$28:$D$34,MATCH($AJ70,Settings!$A$28:$A$34,0))),"")</f>
        <v/>
      </c>
      <c r="AP70">
        <f>IF(D70="","",D70^2)</f>
        <v/>
      </c>
      <c r="AQ70">
        <f>IF(G70="","",G70^2)</f>
        <v/>
      </c>
    </row>
    <row r="71">
      <c r="A71" s="30">
        <f>IF(Roster!$A71="","",Roster!$A71)</f>
        <v/>
      </c>
      <c r="B71" s="31">
        <f>IF(Roster!$B71&lt;&gt;"",Roster!$C71&amp;" "&amp;Roster!$B71,"")</f>
        <v/>
      </c>
      <c r="C71" s="30">
        <f>IF(Roster!$B71&lt;&gt;"",Roster!$D71,"")</f>
        <v/>
      </c>
      <c r="D71" s="16">
        <f>IF(AND(Roster!$B71&lt;&gt;"",COUNT('Pre-Test Entry'!$C71:$AQ71)&gt;0),'Pre-Test Entry'!$AS71,"")</f>
        <v/>
      </c>
      <c r="E71" s="37">
        <f>IFERROR(D71/Settings!$B$8,"")</f>
        <v/>
      </c>
      <c r="F71" s="31">
        <f>IF(D71="","",IF(D71&gt;=Settings!$B$7,"Distinguished Learner",IF(D71&gt;=Settings!$B$6,"Proficient Learner",IF(D71&gt;=Settings!$B$5,"Developing Learner","Beginning Learner"))))</f>
        <v/>
      </c>
      <c r="G71" s="16">
        <f>IF(AND(Roster!$B71&lt;&gt;"",COUNT('Post-Test Entry'!$C71:$AQ71)&gt;0),'Post-Test Entry'!$AS71,"")</f>
        <v/>
      </c>
      <c r="H71" s="37">
        <f>IFERROR(G71/Settings!$B$8,"")</f>
        <v/>
      </c>
      <c r="I71" s="31">
        <f>IF(G71="","",IF(G71&gt;=Settings!$B$7,"Distinguished Learner",IF(G71&gt;=Settings!$B$6,"Proficient Learner",IF(G71&gt;=Settings!$B$5,"Developing Learner","Beginning Learner"))))</f>
        <v/>
      </c>
      <c r="J71" s="16">
        <f>IF(OR(D71="",G71=""),"",G71-D71)</f>
        <v/>
      </c>
      <c r="K71" s="37">
        <f>IFERROR(IF(OR(J71="",J71&lt;=0),"",(G71-D71)/(Settings!$B$8-D71)),"")</f>
        <v/>
      </c>
      <c r="L71" s="38">
        <f>IFERROR(IF(J71="","",(G71-D71)/(Settings!$B$17*SQRT(2))),"")</f>
        <v/>
      </c>
      <c r="M71" s="30">
        <f>IF(L71="","",IF(ABS(L71)&gt;=1.96,"Yes","No"))</f>
        <v/>
      </c>
      <c r="N71" s="30">
        <f>IF(J71="","",IF(J71&gt;=Settings!$B$15,"Yes","No"))</f>
        <v/>
      </c>
      <c r="O71" s="37">
        <f>IFERROR(IF($D71="","",SUMIF('Pre-Test Entry'!$C$3:$AQ$3,Settings!$A$28,'Pre-Test Entry'!$C71:$AQ71)/Settings!$C$28),"")</f>
        <v/>
      </c>
      <c r="P71" s="37">
        <f>IFERROR(IF($D71="","",SUMIF('Pre-Test Entry'!$C$3:$AQ$3,Settings!$A$29,'Pre-Test Entry'!$C71:$AQ71)/Settings!$C$29),"")</f>
        <v/>
      </c>
      <c r="Q71" s="37">
        <f>IFERROR(IF($D71="","",SUMIF('Pre-Test Entry'!$C$3:$AQ$3,Settings!$A$30,'Pre-Test Entry'!$C71:$AQ71)/Settings!$C$30),"")</f>
        <v/>
      </c>
      <c r="R71" s="37">
        <f>IFERROR(IF($D71="","",SUMIF('Pre-Test Entry'!$C$3:$AQ$3,Settings!$A$31,'Pre-Test Entry'!$C71:$AQ71)/Settings!$C$31),"")</f>
        <v/>
      </c>
      <c r="S71" s="37">
        <f>IFERROR(IF($D71="","",SUMIF('Pre-Test Entry'!$C$3:$AQ$3,Settings!$A$32,'Pre-Test Entry'!$C71:$AQ71)/Settings!$C$32),"")</f>
        <v/>
      </c>
      <c r="T71" s="37">
        <f>IFERROR(IF($D71="","",SUMIF('Pre-Test Entry'!$C$3:$AQ$3,Settings!$A$33,'Pre-Test Entry'!$C71:$AQ71)/Settings!$C$33),"")</f>
        <v/>
      </c>
      <c r="U71" s="37">
        <f>IFERROR(IF($D71="","",SUMIF('Pre-Test Entry'!$C$3:$AQ$3,Settings!$A$34,'Pre-Test Entry'!$C71:$AQ71)/Settings!$C$34),"")</f>
        <v/>
      </c>
      <c r="V71" s="37">
        <f>IFERROR(IF($G71="","",SUMIF('Post-Test Entry'!$C$3:$AQ$3,Settings!$A$28,'Post-Test Entry'!$C71:$AQ71)/Settings!$C$28),"")</f>
        <v/>
      </c>
      <c r="W71" s="37">
        <f>IFERROR(IF($G71="","",SUMIF('Post-Test Entry'!$C$3:$AQ$3,Settings!$A$29,'Post-Test Entry'!$C71:$AQ71)/Settings!$C$29),"")</f>
        <v/>
      </c>
      <c r="X71" s="37">
        <f>IFERROR(IF($G71="","",SUMIF('Post-Test Entry'!$C$3:$AQ$3,Settings!$A$30,'Post-Test Entry'!$C71:$AQ71)/Settings!$C$30),"")</f>
        <v/>
      </c>
      <c r="Y71" s="37">
        <f>IFERROR(IF($G71="","",SUMIF('Post-Test Entry'!$C$3:$AQ$3,Settings!$A$31,'Post-Test Entry'!$C71:$AQ71)/Settings!$C$31),"")</f>
        <v/>
      </c>
      <c r="Z71" s="37">
        <f>IFERROR(IF($G71="","",SUMIF('Post-Test Entry'!$C$3:$AQ$3,Settings!$A$32,'Post-Test Entry'!$C71:$AQ71)/Settings!$C$32),"")</f>
        <v/>
      </c>
      <c r="AA71" s="37">
        <f>IFERROR(IF($G71="","",SUMIF('Post-Test Entry'!$C$3:$AQ$3,Settings!$A$33,'Post-Test Entry'!$C71:$AQ71)/Settings!$C$33),"")</f>
        <v/>
      </c>
      <c r="AB71" s="37">
        <f>IFERROR(IF($G71="","",SUMIF('Post-Test Entry'!$C$3:$AQ$3,Settings!$A$34,'Post-Test Entry'!$C71:$AQ71)/Settings!$C$34),"")</f>
        <v/>
      </c>
      <c r="AC71" s="37">
        <f>IF(OR(O71="",V71=""),"",V71-O71)</f>
        <v/>
      </c>
      <c r="AD71" s="37">
        <f>IF(OR(P71="",W71=""),"",W71-P71)</f>
        <v/>
      </c>
      <c r="AE71" s="37">
        <f>IF(OR(Q71="",X71=""),"",X71-Q71)</f>
        <v/>
      </c>
      <c r="AF71" s="37">
        <f>IF(OR(R71="",Y71=""),"",Y71-R71)</f>
        <v/>
      </c>
      <c r="AG71" s="37">
        <f>IF(OR(S71="",Z71=""),"",Z71-S71)</f>
        <v/>
      </c>
      <c r="AH71" s="37">
        <f>IF(OR(T71="",AA71=""),"",AA71-T71)</f>
        <v/>
      </c>
      <c r="AI71" s="37">
        <f>IF(OR(U71="",AB71=""),"",AB71-U71)</f>
        <v/>
      </c>
      <c r="AJ71" s="30">
        <f>IFERROR(IF($G71&lt;&gt;"",INDEX($V$4:$AB$4,MATCH(MIN($V71:$AB71),$V71:$AB71,0)),IF($D71&lt;&gt;"",INDEX($O$4:$U$4,MATCH(MIN($O71:$U71),$O71:$U71,0)),"")),"")</f>
        <v/>
      </c>
      <c r="AK71" s="30">
        <f>IFERROR(IF($G71&lt;&gt;"",INDEX($V$4:$AB$4,MATCH(SMALL($V71:$AB71,2),$V71:$AB71,0)),IF($D71&lt;&gt;"",INDEX($O$4:$U$4,MATCH(SMALL($O71:$U71,2),$O71:$U71,0)),"")),"")</f>
        <v/>
      </c>
      <c r="AL71" s="30">
        <f>IF(OR(G71="",Settings!$B$17=""),"",IF(OR(ABS(G71-Settings!$B$5)&lt;=Settings!$B$17,ABS(G71-Settings!$B$6)&lt;=Settings!$B$17,ABS(G71-Settings!$B$7)&lt;=Settings!$B$17),"NEAR CUT",""))</f>
        <v/>
      </c>
      <c r="AM71" s="31">
        <f>IF('Post-Test Entry'!$AR71&lt;&gt;"","Post essay: code "&amp;'Post-Test Entry'!$AR71,IF('Pre-Test Entry'!$AR71&lt;&gt;"","Pre essay: code "&amp;'Pre-Test Entry'!$AR71,""))</f>
        <v/>
      </c>
      <c r="AN71" s="39">
        <f>IFERROR(IF($AJ71="","",INDEX(Settings!$D$28:$D$34,MATCH($AJ71,Settings!$A$28:$A$34,0))),"")</f>
        <v/>
      </c>
      <c r="AP71">
        <f>IF(D71="","",D71^2)</f>
        <v/>
      </c>
      <c r="AQ71">
        <f>IF(G71="","",G71^2)</f>
        <v/>
      </c>
    </row>
    <row r="72">
      <c r="A72" s="30">
        <f>IF(Roster!$A72="","",Roster!$A72)</f>
        <v/>
      </c>
      <c r="B72" s="31">
        <f>IF(Roster!$B72&lt;&gt;"",Roster!$C72&amp;" "&amp;Roster!$B72,"")</f>
        <v/>
      </c>
      <c r="C72" s="30">
        <f>IF(Roster!$B72&lt;&gt;"",Roster!$D72,"")</f>
        <v/>
      </c>
      <c r="D72" s="16">
        <f>IF(AND(Roster!$B72&lt;&gt;"",COUNT('Pre-Test Entry'!$C72:$AQ72)&gt;0),'Pre-Test Entry'!$AS72,"")</f>
        <v/>
      </c>
      <c r="E72" s="37">
        <f>IFERROR(D72/Settings!$B$8,"")</f>
        <v/>
      </c>
      <c r="F72" s="31">
        <f>IF(D72="","",IF(D72&gt;=Settings!$B$7,"Distinguished Learner",IF(D72&gt;=Settings!$B$6,"Proficient Learner",IF(D72&gt;=Settings!$B$5,"Developing Learner","Beginning Learner"))))</f>
        <v/>
      </c>
      <c r="G72" s="16">
        <f>IF(AND(Roster!$B72&lt;&gt;"",COUNT('Post-Test Entry'!$C72:$AQ72)&gt;0),'Post-Test Entry'!$AS72,"")</f>
        <v/>
      </c>
      <c r="H72" s="37">
        <f>IFERROR(G72/Settings!$B$8,"")</f>
        <v/>
      </c>
      <c r="I72" s="31">
        <f>IF(G72="","",IF(G72&gt;=Settings!$B$7,"Distinguished Learner",IF(G72&gt;=Settings!$B$6,"Proficient Learner",IF(G72&gt;=Settings!$B$5,"Developing Learner","Beginning Learner"))))</f>
        <v/>
      </c>
      <c r="J72" s="16">
        <f>IF(OR(D72="",G72=""),"",G72-D72)</f>
        <v/>
      </c>
      <c r="K72" s="37">
        <f>IFERROR(IF(OR(J72="",J72&lt;=0),"",(G72-D72)/(Settings!$B$8-D72)),"")</f>
        <v/>
      </c>
      <c r="L72" s="38">
        <f>IFERROR(IF(J72="","",(G72-D72)/(Settings!$B$17*SQRT(2))),"")</f>
        <v/>
      </c>
      <c r="M72" s="30">
        <f>IF(L72="","",IF(ABS(L72)&gt;=1.96,"Yes","No"))</f>
        <v/>
      </c>
      <c r="N72" s="30">
        <f>IF(J72="","",IF(J72&gt;=Settings!$B$15,"Yes","No"))</f>
        <v/>
      </c>
      <c r="O72" s="37">
        <f>IFERROR(IF($D72="","",SUMIF('Pre-Test Entry'!$C$3:$AQ$3,Settings!$A$28,'Pre-Test Entry'!$C72:$AQ72)/Settings!$C$28),"")</f>
        <v/>
      </c>
      <c r="P72" s="37">
        <f>IFERROR(IF($D72="","",SUMIF('Pre-Test Entry'!$C$3:$AQ$3,Settings!$A$29,'Pre-Test Entry'!$C72:$AQ72)/Settings!$C$29),"")</f>
        <v/>
      </c>
      <c r="Q72" s="37">
        <f>IFERROR(IF($D72="","",SUMIF('Pre-Test Entry'!$C$3:$AQ$3,Settings!$A$30,'Pre-Test Entry'!$C72:$AQ72)/Settings!$C$30),"")</f>
        <v/>
      </c>
      <c r="R72" s="37">
        <f>IFERROR(IF($D72="","",SUMIF('Pre-Test Entry'!$C$3:$AQ$3,Settings!$A$31,'Pre-Test Entry'!$C72:$AQ72)/Settings!$C$31),"")</f>
        <v/>
      </c>
      <c r="S72" s="37">
        <f>IFERROR(IF($D72="","",SUMIF('Pre-Test Entry'!$C$3:$AQ$3,Settings!$A$32,'Pre-Test Entry'!$C72:$AQ72)/Settings!$C$32),"")</f>
        <v/>
      </c>
      <c r="T72" s="37">
        <f>IFERROR(IF($D72="","",SUMIF('Pre-Test Entry'!$C$3:$AQ$3,Settings!$A$33,'Pre-Test Entry'!$C72:$AQ72)/Settings!$C$33),"")</f>
        <v/>
      </c>
      <c r="U72" s="37">
        <f>IFERROR(IF($D72="","",SUMIF('Pre-Test Entry'!$C$3:$AQ$3,Settings!$A$34,'Pre-Test Entry'!$C72:$AQ72)/Settings!$C$34),"")</f>
        <v/>
      </c>
      <c r="V72" s="37">
        <f>IFERROR(IF($G72="","",SUMIF('Post-Test Entry'!$C$3:$AQ$3,Settings!$A$28,'Post-Test Entry'!$C72:$AQ72)/Settings!$C$28),"")</f>
        <v/>
      </c>
      <c r="W72" s="37">
        <f>IFERROR(IF($G72="","",SUMIF('Post-Test Entry'!$C$3:$AQ$3,Settings!$A$29,'Post-Test Entry'!$C72:$AQ72)/Settings!$C$29),"")</f>
        <v/>
      </c>
      <c r="X72" s="37">
        <f>IFERROR(IF($G72="","",SUMIF('Post-Test Entry'!$C$3:$AQ$3,Settings!$A$30,'Post-Test Entry'!$C72:$AQ72)/Settings!$C$30),"")</f>
        <v/>
      </c>
      <c r="Y72" s="37">
        <f>IFERROR(IF($G72="","",SUMIF('Post-Test Entry'!$C$3:$AQ$3,Settings!$A$31,'Post-Test Entry'!$C72:$AQ72)/Settings!$C$31),"")</f>
        <v/>
      </c>
      <c r="Z72" s="37">
        <f>IFERROR(IF($G72="","",SUMIF('Post-Test Entry'!$C$3:$AQ$3,Settings!$A$32,'Post-Test Entry'!$C72:$AQ72)/Settings!$C$32),"")</f>
        <v/>
      </c>
      <c r="AA72" s="37">
        <f>IFERROR(IF($G72="","",SUMIF('Post-Test Entry'!$C$3:$AQ$3,Settings!$A$33,'Post-Test Entry'!$C72:$AQ72)/Settings!$C$33),"")</f>
        <v/>
      </c>
      <c r="AB72" s="37">
        <f>IFERROR(IF($G72="","",SUMIF('Post-Test Entry'!$C$3:$AQ$3,Settings!$A$34,'Post-Test Entry'!$C72:$AQ72)/Settings!$C$34),"")</f>
        <v/>
      </c>
      <c r="AC72" s="37">
        <f>IF(OR(O72="",V72=""),"",V72-O72)</f>
        <v/>
      </c>
      <c r="AD72" s="37">
        <f>IF(OR(P72="",W72=""),"",W72-P72)</f>
        <v/>
      </c>
      <c r="AE72" s="37">
        <f>IF(OR(Q72="",X72=""),"",X72-Q72)</f>
        <v/>
      </c>
      <c r="AF72" s="37">
        <f>IF(OR(R72="",Y72=""),"",Y72-R72)</f>
        <v/>
      </c>
      <c r="AG72" s="37">
        <f>IF(OR(S72="",Z72=""),"",Z72-S72)</f>
        <v/>
      </c>
      <c r="AH72" s="37">
        <f>IF(OR(T72="",AA72=""),"",AA72-T72)</f>
        <v/>
      </c>
      <c r="AI72" s="37">
        <f>IF(OR(U72="",AB72=""),"",AB72-U72)</f>
        <v/>
      </c>
      <c r="AJ72" s="30">
        <f>IFERROR(IF($G72&lt;&gt;"",INDEX($V$4:$AB$4,MATCH(MIN($V72:$AB72),$V72:$AB72,0)),IF($D72&lt;&gt;"",INDEX($O$4:$U$4,MATCH(MIN($O72:$U72),$O72:$U72,0)),"")),"")</f>
        <v/>
      </c>
      <c r="AK72" s="30">
        <f>IFERROR(IF($G72&lt;&gt;"",INDEX($V$4:$AB$4,MATCH(SMALL($V72:$AB72,2),$V72:$AB72,0)),IF($D72&lt;&gt;"",INDEX($O$4:$U$4,MATCH(SMALL($O72:$U72,2),$O72:$U72,0)),"")),"")</f>
        <v/>
      </c>
      <c r="AL72" s="30">
        <f>IF(OR(G72="",Settings!$B$17=""),"",IF(OR(ABS(G72-Settings!$B$5)&lt;=Settings!$B$17,ABS(G72-Settings!$B$6)&lt;=Settings!$B$17,ABS(G72-Settings!$B$7)&lt;=Settings!$B$17),"NEAR CUT",""))</f>
        <v/>
      </c>
      <c r="AM72" s="31">
        <f>IF('Post-Test Entry'!$AR72&lt;&gt;"","Post essay: code "&amp;'Post-Test Entry'!$AR72,IF('Pre-Test Entry'!$AR72&lt;&gt;"","Pre essay: code "&amp;'Pre-Test Entry'!$AR72,""))</f>
        <v/>
      </c>
      <c r="AN72" s="39">
        <f>IFERROR(IF($AJ72="","",INDEX(Settings!$D$28:$D$34,MATCH($AJ72,Settings!$A$28:$A$34,0))),"")</f>
        <v/>
      </c>
      <c r="AP72">
        <f>IF(D72="","",D72^2)</f>
        <v/>
      </c>
      <c r="AQ72">
        <f>IF(G72="","",G72^2)</f>
        <v/>
      </c>
    </row>
    <row r="73">
      <c r="A73" s="30">
        <f>IF(Roster!$A73="","",Roster!$A73)</f>
        <v/>
      </c>
      <c r="B73" s="31">
        <f>IF(Roster!$B73&lt;&gt;"",Roster!$C73&amp;" "&amp;Roster!$B73,"")</f>
        <v/>
      </c>
      <c r="C73" s="30">
        <f>IF(Roster!$B73&lt;&gt;"",Roster!$D73,"")</f>
        <v/>
      </c>
      <c r="D73" s="16">
        <f>IF(AND(Roster!$B73&lt;&gt;"",COUNT('Pre-Test Entry'!$C73:$AQ73)&gt;0),'Pre-Test Entry'!$AS73,"")</f>
        <v/>
      </c>
      <c r="E73" s="37">
        <f>IFERROR(D73/Settings!$B$8,"")</f>
        <v/>
      </c>
      <c r="F73" s="31">
        <f>IF(D73="","",IF(D73&gt;=Settings!$B$7,"Distinguished Learner",IF(D73&gt;=Settings!$B$6,"Proficient Learner",IF(D73&gt;=Settings!$B$5,"Developing Learner","Beginning Learner"))))</f>
        <v/>
      </c>
      <c r="G73" s="16">
        <f>IF(AND(Roster!$B73&lt;&gt;"",COUNT('Post-Test Entry'!$C73:$AQ73)&gt;0),'Post-Test Entry'!$AS73,"")</f>
        <v/>
      </c>
      <c r="H73" s="37">
        <f>IFERROR(G73/Settings!$B$8,"")</f>
        <v/>
      </c>
      <c r="I73" s="31">
        <f>IF(G73="","",IF(G73&gt;=Settings!$B$7,"Distinguished Learner",IF(G73&gt;=Settings!$B$6,"Proficient Learner",IF(G73&gt;=Settings!$B$5,"Developing Learner","Beginning Learner"))))</f>
        <v/>
      </c>
      <c r="J73" s="16">
        <f>IF(OR(D73="",G73=""),"",G73-D73)</f>
        <v/>
      </c>
      <c r="K73" s="37">
        <f>IFERROR(IF(OR(J73="",J73&lt;=0),"",(G73-D73)/(Settings!$B$8-D73)),"")</f>
        <v/>
      </c>
      <c r="L73" s="38">
        <f>IFERROR(IF(J73="","",(G73-D73)/(Settings!$B$17*SQRT(2))),"")</f>
        <v/>
      </c>
      <c r="M73" s="30">
        <f>IF(L73="","",IF(ABS(L73)&gt;=1.96,"Yes","No"))</f>
        <v/>
      </c>
      <c r="N73" s="30">
        <f>IF(J73="","",IF(J73&gt;=Settings!$B$15,"Yes","No"))</f>
        <v/>
      </c>
      <c r="O73" s="37">
        <f>IFERROR(IF($D73="","",SUMIF('Pre-Test Entry'!$C$3:$AQ$3,Settings!$A$28,'Pre-Test Entry'!$C73:$AQ73)/Settings!$C$28),"")</f>
        <v/>
      </c>
      <c r="P73" s="37">
        <f>IFERROR(IF($D73="","",SUMIF('Pre-Test Entry'!$C$3:$AQ$3,Settings!$A$29,'Pre-Test Entry'!$C73:$AQ73)/Settings!$C$29),"")</f>
        <v/>
      </c>
      <c r="Q73" s="37">
        <f>IFERROR(IF($D73="","",SUMIF('Pre-Test Entry'!$C$3:$AQ$3,Settings!$A$30,'Pre-Test Entry'!$C73:$AQ73)/Settings!$C$30),"")</f>
        <v/>
      </c>
      <c r="R73" s="37">
        <f>IFERROR(IF($D73="","",SUMIF('Pre-Test Entry'!$C$3:$AQ$3,Settings!$A$31,'Pre-Test Entry'!$C73:$AQ73)/Settings!$C$31),"")</f>
        <v/>
      </c>
      <c r="S73" s="37">
        <f>IFERROR(IF($D73="","",SUMIF('Pre-Test Entry'!$C$3:$AQ$3,Settings!$A$32,'Pre-Test Entry'!$C73:$AQ73)/Settings!$C$32),"")</f>
        <v/>
      </c>
      <c r="T73" s="37">
        <f>IFERROR(IF($D73="","",SUMIF('Pre-Test Entry'!$C$3:$AQ$3,Settings!$A$33,'Pre-Test Entry'!$C73:$AQ73)/Settings!$C$33),"")</f>
        <v/>
      </c>
      <c r="U73" s="37">
        <f>IFERROR(IF($D73="","",SUMIF('Pre-Test Entry'!$C$3:$AQ$3,Settings!$A$34,'Pre-Test Entry'!$C73:$AQ73)/Settings!$C$34),"")</f>
        <v/>
      </c>
      <c r="V73" s="37">
        <f>IFERROR(IF($G73="","",SUMIF('Post-Test Entry'!$C$3:$AQ$3,Settings!$A$28,'Post-Test Entry'!$C73:$AQ73)/Settings!$C$28),"")</f>
        <v/>
      </c>
      <c r="W73" s="37">
        <f>IFERROR(IF($G73="","",SUMIF('Post-Test Entry'!$C$3:$AQ$3,Settings!$A$29,'Post-Test Entry'!$C73:$AQ73)/Settings!$C$29),"")</f>
        <v/>
      </c>
      <c r="X73" s="37">
        <f>IFERROR(IF($G73="","",SUMIF('Post-Test Entry'!$C$3:$AQ$3,Settings!$A$30,'Post-Test Entry'!$C73:$AQ73)/Settings!$C$30),"")</f>
        <v/>
      </c>
      <c r="Y73" s="37">
        <f>IFERROR(IF($G73="","",SUMIF('Post-Test Entry'!$C$3:$AQ$3,Settings!$A$31,'Post-Test Entry'!$C73:$AQ73)/Settings!$C$31),"")</f>
        <v/>
      </c>
      <c r="Z73" s="37">
        <f>IFERROR(IF($G73="","",SUMIF('Post-Test Entry'!$C$3:$AQ$3,Settings!$A$32,'Post-Test Entry'!$C73:$AQ73)/Settings!$C$32),"")</f>
        <v/>
      </c>
      <c r="AA73" s="37">
        <f>IFERROR(IF($G73="","",SUMIF('Post-Test Entry'!$C$3:$AQ$3,Settings!$A$33,'Post-Test Entry'!$C73:$AQ73)/Settings!$C$33),"")</f>
        <v/>
      </c>
      <c r="AB73" s="37">
        <f>IFERROR(IF($G73="","",SUMIF('Post-Test Entry'!$C$3:$AQ$3,Settings!$A$34,'Post-Test Entry'!$C73:$AQ73)/Settings!$C$34),"")</f>
        <v/>
      </c>
      <c r="AC73" s="37">
        <f>IF(OR(O73="",V73=""),"",V73-O73)</f>
        <v/>
      </c>
      <c r="AD73" s="37">
        <f>IF(OR(P73="",W73=""),"",W73-P73)</f>
        <v/>
      </c>
      <c r="AE73" s="37">
        <f>IF(OR(Q73="",X73=""),"",X73-Q73)</f>
        <v/>
      </c>
      <c r="AF73" s="37">
        <f>IF(OR(R73="",Y73=""),"",Y73-R73)</f>
        <v/>
      </c>
      <c r="AG73" s="37">
        <f>IF(OR(S73="",Z73=""),"",Z73-S73)</f>
        <v/>
      </c>
      <c r="AH73" s="37">
        <f>IF(OR(T73="",AA73=""),"",AA73-T73)</f>
        <v/>
      </c>
      <c r="AI73" s="37">
        <f>IF(OR(U73="",AB73=""),"",AB73-U73)</f>
        <v/>
      </c>
      <c r="AJ73" s="30">
        <f>IFERROR(IF($G73&lt;&gt;"",INDEX($V$4:$AB$4,MATCH(MIN($V73:$AB73),$V73:$AB73,0)),IF($D73&lt;&gt;"",INDEX($O$4:$U$4,MATCH(MIN($O73:$U73),$O73:$U73,0)),"")),"")</f>
        <v/>
      </c>
      <c r="AK73" s="30">
        <f>IFERROR(IF($G73&lt;&gt;"",INDEX($V$4:$AB$4,MATCH(SMALL($V73:$AB73,2),$V73:$AB73,0)),IF($D73&lt;&gt;"",INDEX($O$4:$U$4,MATCH(SMALL($O73:$U73,2),$O73:$U73,0)),"")),"")</f>
        <v/>
      </c>
      <c r="AL73" s="30">
        <f>IF(OR(G73="",Settings!$B$17=""),"",IF(OR(ABS(G73-Settings!$B$5)&lt;=Settings!$B$17,ABS(G73-Settings!$B$6)&lt;=Settings!$B$17,ABS(G73-Settings!$B$7)&lt;=Settings!$B$17),"NEAR CUT",""))</f>
        <v/>
      </c>
      <c r="AM73" s="31">
        <f>IF('Post-Test Entry'!$AR73&lt;&gt;"","Post essay: code "&amp;'Post-Test Entry'!$AR73,IF('Pre-Test Entry'!$AR73&lt;&gt;"","Pre essay: code "&amp;'Pre-Test Entry'!$AR73,""))</f>
        <v/>
      </c>
      <c r="AN73" s="39">
        <f>IFERROR(IF($AJ73="","",INDEX(Settings!$D$28:$D$34,MATCH($AJ73,Settings!$A$28:$A$34,0))),"")</f>
        <v/>
      </c>
      <c r="AP73">
        <f>IF(D73="","",D73^2)</f>
        <v/>
      </c>
      <c r="AQ73">
        <f>IF(G73="","",G73^2)</f>
        <v/>
      </c>
    </row>
    <row r="74">
      <c r="A74" s="30">
        <f>IF(Roster!$A74="","",Roster!$A74)</f>
        <v/>
      </c>
      <c r="B74" s="31">
        <f>IF(Roster!$B74&lt;&gt;"",Roster!$C74&amp;" "&amp;Roster!$B74,"")</f>
        <v/>
      </c>
      <c r="C74" s="30">
        <f>IF(Roster!$B74&lt;&gt;"",Roster!$D74,"")</f>
        <v/>
      </c>
      <c r="D74" s="16">
        <f>IF(AND(Roster!$B74&lt;&gt;"",COUNT('Pre-Test Entry'!$C74:$AQ74)&gt;0),'Pre-Test Entry'!$AS74,"")</f>
        <v/>
      </c>
      <c r="E74" s="37">
        <f>IFERROR(D74/Settings!$B$8,"")</f>
        <v/>
      </c>
      <c r="F74" s="31">
        <f>IF(D74="","",IF(D74&gt;=Settings!$B$7,"Distinguished Learner",IF(D74&gt;=Settings!$B$6,"Proficient Learner",IF(D74&gt;=Settings!$B$5,"Developing Learner","Beginning Learner"))))</f>
        <v/>
      </c>
      <c r="G74" s="16">
        <f>IF(AND(Roster!$B74&lt;&gt;"",COUNT('Post-Test Entry'!$C74:$AQ74)&gt;0),'Post-Test Entry'!$AS74,"")</f>
        <v/>
      </c>
      <c r="H74" s="37">
        <f>IFERROR(G74/Settings!$B$8,"")</f>
        <v/>
      </c>
      <c r="I74" s="31">
        <f>IF(G74="","",IF(G74&gt;=Settings!$B$7,"Distinguished Learner",IF(G74&gt;=Settings!$B$6,"Proficient Learner",IF(G74&gt;=Settings!$B$5,"Developing Learner","Beginning Learner"))))</f>
        <v/>
      </c>
      <c r="J74" s="16">
        <f>IF(OR(D74="",G74=""),"",G74-D74)</f>
        <v/>
      </c>
      <c r="K74" s="37">
        <f>IFERROR(IF(OR(J74="",J74&lt;=0),"",(G74-D74)/(Settings!$B$8-D74)),"")</f>
        <v/>
      </c>
      <c r="L74" s="38">
        <f>IFERROR(IF(J74="","",(G74-D74)/(Settings!$B$17*SQRT(2))),"")</f>
        <v/>
      </c>
      <c r="M74" s="30">
        <f>IF(L74="","",IF(ABS(L74)&gt;=1.96,"Yes","No"))</f>
        <v/>
      </c>
      <c r="N74" s="30">
        <f>IF(J74="","",IF(J74&gt;=Settings!$B$15,"Yes","No"))</f>
        <v/>
      </c>
      <c r="O74" s="37">
        <f>IFERROR(IF($D74="","",SUMIF('Pre-Test Entry'!$C$3:$AQ$3,Settings!$A$28,'Pre-Test Entry'!$C74:$AQ74)/Settings!$C$28),"")</f>
        <v/>
      </c>
      <c r="P74" s="37">
        <f>IFERROR(IF($D74="","",SUMIF('Pre-Test Entry'!$C$3:$AQ$3,Settings!$A$29,'Pre-Test Entry'!$C74:$AQ74)/Settings!$C$29),"")</f>
        <v/>
      </c>
      <c r="Q74" s="37">
        <f>IFERROR(IF($D74="","",SUMIF('Pre-Test Entry'!$C$3:$AQ$3,Settings!$A$30,'Pre-Test Entry'!$C74:$AQ74)/Settings!$C$30),"")</f>
        <v/>
      </c>
      <c r="R74" s="37">
        <f>IFERROR(IF($D74="","",SUMIF('Pre-Test Entry'!$C$3:$AQ$3,Settings!$A$31,'Pre-Test Entry'!$C74:$AQ74)/Settings!$C$31),"")</f>
        <v/>
      </c>
      <c r="S74" s="37">
        <f>IFERROR(IF($D74="","",SUMIF('Pre-Test Entry'!$C$3:$AQ$3,Settings!$A$32,'Pre-Test Entry'!$C74:$AQ74)/Settings!$C$32),"")</f>
        <v/>
      </c>
      <c r="T74" s="37">
        <f>IFERROR(IF($D74="","",SUMIF('Pre-Test Entry'!$C$3:$AQ$3,Settings!$A$33,'Pre-Test Entry'!$C74:$AQ74)/Settings!$C$33),"")</f>
        <v/>
      </c>
      <c r="U74" s="37">
        <f>IFERROR(IF($D74="","",SUMIF('Pre-Test Entry'!$C$3:$AQ$3,Settings!$A$34,'Pre-Test Entry'!$C74:$AQ74)/Settings!$C$34),"")</f>
        <v/>
      </c>
      <c r="V74" s="37">
        <f>IFERROR(IF($G74="","",SUMIF('Post-Test Entry'!$C$3:$AQ$3,Settings!$A$28,'Post-Test Entry'!$C74:$AQ74)/Settings!$C$28),"")</f>
        <v/>
      </c>
      <c r="W74" s="37">
        <f>IFERROR(IF($G74="","",SUMIF('Post-Test Entry'!$C$3:$AQ$3,Settings!$A$29,'Post-Test Entry'!$C74:$AQ74)/Settings!$C$29),"")</f>
        <v/>
      </c>
      <c r="X74" s="37">
        <f>IFERROR(IF($G74="","",SUMIF('Post-Test Entry'!$C$3:$AQ$3,Settings!$A$30,'Post-Test Entry'!$C74:$AQ74)/Settings!$C$30),"")</f>
        <v/>
      </c>
      <c r="Y74" s="37">
        <f>IFERROR(IF($G74="","",SUMIF('Post-Test Entry'!$C$3:$AQ$3,Settings!$A$31,'Post-Test Entry'!$C74:$AQ74)/Settings!$C$31),"")</f>
        <v/>
      </c>
      <c r="Z74" s="37">
        <f>IFERROR(IF($G74="","",SUMIF('Post-Test Entry'!$C$3:$AQ$3,Settings!$A$32,'Post-Test Entry'!$C74:$AQ74)/Settings!$C$32),"")</f>
        <v/>
      </c>
      <c r="AA74" s="37">
        <f>IFERROR(IF($G74="","",SUMIF('Post-Test Entry'!$C$3:$AQ$3,Settings!$A$33,'Post-Test Entry'!$C74:$AQ74)/Settings!$C$33),"")</f>
        <v/>
      </c>
      <c r="AB74" s="37">
        <f>IFERROR(IF($G74="","",SUMIF('Post-Test Entry'!$C$3:$AQ$3,Settings!$A$34,'Post-Test Entry'!$C74:$AQ74)/Settings!$C$34),"")</f>
        <v/>
      </c>
      <c r="AC74" s="37">
        <f>IF(OR(O74="",V74=""),"",V74-O74)</f>
        <v/>
      </c>
      <c r="AD74" s="37">
        <f>IF(OR(P74="",W74=""),"",W74-P74)</f>
        <v/>
      </c>
      <c r="AE74" s="37">
        <f>IF(OR(Q74="",X74=""),"",X74-Q74)</f>
        <v/>
      </c>
      <c r="AF74" s="37">
        <f>IF(OR(R74="",Y74=""),"",Y74-R74)</f>
        <v/>
      </c>
      <c r="AG74" s="37">
        <f>IF(OR(S74="",Z74=""),"",Z74-S74)</f>
        <v/>
      </c>
      <c r="AH74" s="37">
        <f>IF(OR(T74="",AA74=""),"",AA74-T74)</f>
        <v/>
      </c>
      <c r="AI74" s="37">
        <f>IF(OR(U74="",AB74=""),"",AB74-U74)</f>
        <v/>
      </c>
      <c r="AJ74" s="30">
        <f>IFERROR(IF($G74&lt;&gt;"",INDEX($V$4:$AB$4,MATCH(MIN($V74:$AB74),$V74:$AB74,0)),IF($D74&lt;&gt;"",INDEX($O$4:$U$4,MATCH(MIN($O74:$U74),$O74:$U74,0)),"")),"")</f>
        <v/>
      </c>
      <c r="AK74" s="30">
        <f>IFERROR(IF($G74&lt;&gt;"",INDEX($V$4:$AB$4,MATCH(SMALL($V74:$AB74,2),$V74:$AB74,0)),IF($D74&lt;&gt;"",INDEX($O$4:$U$4,MATCH(SMALL($O74:$U74,2),$O74:$U74,0)),"")),"")</f>
        <v/>
      </c>
      <c r="AL74" s="30">
        <f>IF(OR(G74="",Settings!$B$17=""),"",IF(OR(ABS(G74-Settings!$B$5)&lt;=Settings!$B$17,ABS(G74-Settings!$B$6)&lt;=Settings!$B$17,ABS(G74-Settings!$B$7)&lt;=Settings!$B$17),"NEAR CUT",""))</f>
        <v/>
      </c>
      <c r="AM74" s="31">
        <f>IF('Post-Test Entry'!$AR74&lt;&gt;"","Post essay: code "&amp;'Post-Test Entry'!$AR74,IF('Pre-Test Entry'!$AR74&lt;&gt;"","Pre essay: code "&amp;'Pre-Test Entry'!$AR74,""))</f>
        <v/>
      </c>
      <c r="AN74" s="39">
        <f>IFERROR(IF($AJ74="","",INDEX(Settings!$D$28:$D$34,MATCH($AJ74,Settings!$A$28:$A$34,0))),"")</f>
        <v/>
      </c>
      <c r="AP74">
        <f>IF(D74="","",D74^2)</f>
        <v/>
      </c>
      <c r="AQ74">
        <f>IF(G74="","",G74^2)</f>
        <v/>
      </c>
    </row>
    <row r="75">
      <c r="A75" s="30">
        <f>IF(Roster!$A75="","",Roster!$A75)</f>
        <v/>
      </c>
      <c r="B75" s="31">
        <f>IF(Roster!$B75&lt;&gt;"",Roster!$C75&amp;" "&amp;Roster!$B75,"")</f>
        <v/>
      </c>
      <c r="C75" s="30">
        <f>IF(Roster!$B75&lt;&gt;"",Roster!$D75,"")</f>
        <v/>
      </c>
      <c r="D75" s="16">
        <f>IF(AND(Roster!$B75&lt;&gt;"",COUNT('Pre-Test Entry'!$C75:$AQ75)&gt;0),'Pre-Test Entry'!$AS75,"")</f>
        <v/>
      </c>
      <c r="E75" s="37">
        <f>IFERROR(D75/Settings!$B$8,"")</f>
        <v/>
      </c>
      <c r="F75" s="31">
        <f>IF(D75="","",IF(D75&gt;=Settings!$B$7,"Distinguished Learner",IF(D75&gt;=Settings!$B$6,"Proficient Learner",IF(D75&gt;=Settings!$B$5,"Developing Learner","Beginning Learner"))))</f>
        <v/>
      </c>
      <c r="G75" s="16">
        <f>IF(AND(Roster!$B75&lt;&gt;"",COUNT('Post-Test Entry'!$C75:$AQ75)&gt;0),'Post-Test Entry'!$AS75,"")</f>
        <v/>
      </c>
      <c r="H75" s="37">
        <f>IFERROR(G75/Settings!$B$8,"")</f>
        <v/>
      </c>
      <c r="I75" s="31">
        <f>IF(G75="","",IF(G75&gt;=Settings!$B$7,"Distinguished Learner",IF(G75&gt;=Settings!$B$6,"Proficient Learner",IF(G75&gt;=Settings!$B$5,"Developing Learner","Beginning Learner"))))</f>
        <v/>
      </c>
      <c r="J75" s="16">
        <f>IF(OR(D75="",G75=""),"",G75-D75)</f>
        <v/>
      </c>
      <c r="K75" s="37">
        <f>IFERROR(IF(OR(J75="",J75&lt;=0),"",(G75-D75)/(Settings!$B$8-D75)),"")</f>
        <v/>
      </c>
      <c r="L75" s="38">
        <f>IFERROR(IF(J75="","",(G75-D75)/(Settings!$B$17*SQRT(2))),"")</f>
        <v/>
      </c>
      <c r="M75" s="30">
        <f>IF(L75="","",IF(ABS(L75)&gt;=1.96,"Yes","No"))</f>
        <v/>
      </c>
      <c r="N75" s="30">
        <f>IF(J75="","",IF(J75&gt;=Settings!$B$15,"Yes","No"))</f>
        <v/>
      </c>
      <c r="O75" s="37">
        <f>IFERROR(IF($D75="","",SUMIF('Pre-Test Entry'!$C$3:$AQ$3,Settings!$A$28,'Pre-Test Entry'!$C75:$AQ75)/Settings!$C$28),"")</f>
        <v/>
      </c>
      <c r="P75" s="37">
        <f>IFERROR(IF($D75="","",SUMIF('Pre-Test Entry'!$C$3:$AQ$3,Settings!$A$29,'Pre-Test Entry'!$C75:$AQ75)/Settings!$C$29),"")</f>
        <v/>
      </c>
      <c r="Q75" s="37">
        <f>IFERROR(IF($D75="","",SUMIF('Pre-Test Entry'!$C$3:$AQ$3,Settings!$A$30,'Pre-Test Entry'!$C75:$AQ75)/Settings!$C$30),"")</f>
        <v/>
      </c>
      <c r="R75" s="37">
        <f>IFERROR(IF($D75="","",SUMIF('Pre-Test Entry'!$C$3:$AQ$3,Settings!$A$31,'Pre-Test Entry'!$C75:$AQ75)/Settings!$C$31),"")</f>
        <v/>
      </c>
      <c r="S75" s="37">
        <f>IFERROR(IF($D75="","",SUMIF('Pre-Test Entry'!$C$3:$AQ$3,Settings!$A$32,'Pre-Test Entry'!$C75:$AQ75)/Settings!$C$32),"")</f>
        <v/>
      </c>
      <c r="T75" s="37">
        <f>IFERROR(IF($D75="","",SUMIF('Pre-Test Entry'!$C$3:$AQ$3,Settings!$A$33,'Pre-Test Entry'!$C75:$AQ75)/Settings!$C$33),"")</f>
        <v/>
      </c>
      <c r="U75" s="37">
        <f>IFERROR(IF($D75="","",SUMIF('Pre-Test Entry'!$C$3:$AQ$3,Settings!$A$34,'Pre-Test Entry'!$C75:$AQ75)/Settings!$C$34),"")</f>
        <v/>
      </c>
      <c r="V75" s="37">
        <f>IFERROR(IF($G75="","",SUMIF('Post-Test Entry'!$C$3:$AQ$3,Settings!$A$28,'Post-Test Entry'!$C75:$AQ75)/Settings!$C$28),"")</f>
        <v/>
      </c>
      <c r="W75" s="37">
        <f>IFERROR(IF($G75="","",SUMIF('Post-Test Entry'!$C$3:$AQ$3,Settings!$A$29,'Post-Test Entry'!$C75:$AQ75)/Settings!$C$29),"")</f>
        <v/>
      </c>
      <c r="X75" s="37">
        <f>IFERROR(IF($G75="","",SUMIF('Post-Test Entry'!$C$3:$AQ$3,Settings!$A$30,'Post-Test Entry'!$C75:$AQ75)/Settings!$C$30),"")</f>
        <v/>
      </c>
      <c r="Y75" s="37">
        <f>IFERROR(IF($G75="","",SUMIF('Post-Test Entry'!$C$3:$AQ$3,Settings!$A$31,'Post-Test Entry'!$C75:$AQ75)/Settings!$C$31),"")</f>
        <v/>
      </c>
      <c r="Z75" s="37">
        <f>IFERROR(IF($G75="","",SUMIF('Post-Test Entry'!$C$3:$AQ$3,Settings!$A$32,'Post-Test Entry'!$C75:$AQ75)/Settings!$C$32),"")</f>
        <v/>
      </c>
      <c r="AA75" s="37">
        <f>IFERROR(IF($G75="","",SUMIF('Post-Test Entry'!$C$3:$AQ$3,Settings!$A$33,'Post-Test Entry'!$C75:$AQ75)/Settings!$C$33),"")</f>
        <v/>
      </c>
      <c r="AB75" s="37">
        <f>IFERROR(IF($G75="","",SUMIF('Post-Test Entry'!$C$3:$AQ$3,Settings!$A$34,'Post-Test Entry'!$C75:$AQ75)/Settings!$C$34),"")</f>
        <v/>
      </c>
      <c r="AC75" s="37">
        <f>IF(OR(O75="",V75=""),"",V75-O75)</f>
        <v/>
      </c>
      <c r="AD75" s="37">
        <f>IF(OR(P75="",W75=""),"",W75-P75)</f>
        <v/>
      </c>
      <c r="AE75" s="37">
        <f>IF(OR(Q75="",X75=""),"",X75-Q75)</f>
        <v/>
      </c>
      <c r="AF75" s="37">
        <f>IF(OR(R75="",Y75=""),"",Y75-R75)</f>
        <v/>
      </c>
      <c r="AG75" s="37">
        <f>IF(OR(S75="",Z75=""),"",Z75-S75)</f>
        <v/>
      </c>
      <c r="AH75" s="37">
        <f>IF(OR(T75="",AA75=""),"",AA75-T75)</f>
        <v/>
      </c>
      <c r="AI75" s="37">
        <f>IF(OR(U75="",AB75=""),"",AB75-U75)</f>
        <v/>
      </c>
      <c r="AJ75" s="30">
        <f>IFERROR(IF($G75&lt;&gt;"",INDEX($V$4:$AB$4,MATCH(MIN($V75:$AB75),$V75:$AB75,0)),IF($D75&lt;&gt;"",INDEX($O$4:$U$4,MATCH(MIN($O75:$U75),$O75:$U75,0)),"")),"")</f>
        <v/>
      </c>
      <c r="AK75" s="30">
        <f>IFERROR(IF($G75&lt;&gt;"",INDEX($V$4:$AB$4,MATCH(SMALL($V75:$AB75,2),$V75:$AB75,0)),IF($D75&lt;&gt;"",INDEX($O$4:$U$4,MATCH(SMALL($O75:$U75,2),$O75:$U75,0)),"")),"")</f>
        <v/>
      </c>
      <c r="AL75" s="30">
        <f>IF(OR(G75="",Settings!$B$17=""),"",IF(OR(ABS(G75-Settings!$B$5)&lt;=Settings!$B$17,ABS(G75-Settings!$B$6)&lt;=Settings!$B$17,ABS(G75-Settings!$B$7)&lt;=Settings!$B$17),"NEAR CUT",""))</f>
        <v/>
      </c>
      <c r="AM75" s="31">
        <f>IF('Post-Test Entry'!$AR75&lt;&gt;"","Post essay: code "&amp;'Post-Test Entry'!$AR75,IF('Pre-Test Entry'!$AR75&lt;&gt;"","Pre essay: code "&amp;'Pre-Test Entry'!$AR75,""))</f>
        <v/>
      </c>
      <c r="AN75" s="39">
        <f>IFERROR(IF($AJ75="","",INDEX(Settings!$D$28:$D$34,MATCH($AJ75,Settings!$A$28:$A$34,0))),"")</f>
        <v/>
      </c>
      <c r="AP75">
        <f>IF(D75="","",D75^2)</f>
        <v/>
      </c>
      <c r="AQ75">
        <f>IF(G75="","",G75^2)</f>
        <v/>
      </c>
    </row>
    <row r="76">
      <c r="A76" s="30">
        <f>IF(Roster!$A76="","",Roster!$A76)</f>
        <v/>
      </c>
      <c r="B76" s="31">
        <f>IF(Roster!$B76&lt;&gt;"",Roster!$C76&amp;" "&amp;Roster!$B76,"")</f>
        <v/>
      </c>
      <c r="C76" s="30">
        <f>IF(Roster!$B76&lt;&gt;"",Roster!$D76,"")</f>
        <v/>
      </c>
      <c r="D76" s="16">
        <f>IF(AND(Roster!$B76&lt;&gt;"",COUNT('Pre-Test Entry'!$C76:$AQ76)&gt;0),'Pre-Test Entry'!$AS76,"")</f>
        <v/>
      </c>
      <c r="E76" s="37">
        <f>IFERROR(D76/Settings!$B$8,"")</f>
        <v/>
      </c>
      <c r="F76" s="31">
        <f>IF(D76="","",IF(D76&gt;=Settings!$B$7,"Distinguished Learner",IF(D76&gt;=Settings!$B$6,"Proficient Learner",IF(D76&gt;=Settings!$B$5,"Developing Learner","Beginning Learner"))))</f>
        <v/>
      </c>
      <c r="G76" s="16">
        <f>IF(AND(Roster!$B76&lt;&gt;"",COUNT('Post-Test Entry'!$C76:$AQ76)&gt;0),'Post-Test Entry'!$AS76,"")</f>
        <v/>
      </c>
      <c r="H76" s="37">
        <f>IFERROR(G76/Settings!$B$8,"")</f>
        <v/>
      </c>
      <c r="I76" s="31">
        <f>IF(G76="","",IF(G76&gt;=Settings!$B$7,"Distinguished Learner",IF(G76&gt;=Settings!$B$6,"Proficient Learner",IF(G76&gt;=Settings!$B$5,"Developing Learner","Beginning Learner"))))</f>
        <v/>
      </c>
      <c r="J76" s="16">
        <f>IF(OR(D76="",G76=""),"",G76-D76)</f>
        <v/>
      </c>
      <c r="K76" s="37">
        <f>IFERROR(IF(OR(J76="",J76&lt;=0),"",(G76-D76)/(Settings!$B$8-D76)),"")</f>
        <v/>
      </c>
      <c r="L76" s="38">
        <f>IFERROR(IF(J76="","",(G76-D76)/(Settings!$B$17*SQRT(2))),"")</f>
        <v/>
      </c>
      <c r="M76" s="30">
        <f>IF(L76="","",IF(ABS(L76)&gt;=1.96,"Yes","No"))</f>
        <v/>
      </c>
      <c r="N76" s="30">
        <f>IF(J76="","",IF(J76&gt;=Settings!$B$15,"Yes","No"))</f>
        <v/>
      </c>
      <c r="O76" s="37">
        <f>IFERROR(IF($D76="","",SUMIF('Pre-Test Entry'!$C$3:$AQ$3,Settings!$A$28,'Pre-Test Entry'!$C76:$AQ76)/Settings!$C$28),"")</f>
        <v/>
      </c>
      <c r="P76" s="37">
        <f>IFERROR(IF($D76="","",SUMIF('Pre-Test Entry'!$C$3:$AQ$3,Settings!$A$29,'Pre-Test Entry'!$C76:$AQ76)/Settings!$C$29),"")</f>
        <v/>
      </c>
      <c r="Q76" s="37">
        <f>IFERROR(IF($D76="","",SUMIF('Pre-Test Entry'!$C$3:$AQ$3,Settings!$A$30,'Pre-Test Entry'!$C76:$AQ76)/Settings!$C$30),"")</f>
        <v/>
      </c>
      <c r="R76" s="37">
        <f>IFERROR(IF($D76="","",SUMIF('Pre-Test Entry'!$C$3:$AQ$3,Settings!$A$31,'Pre-Test Entry'!$C76:$AQ76)/Settings!$C$31),"")</f>
        <v/>
      </c>
      <c r="S76" s="37">
        <f>IFERROR(IF($D76="","",SUMIF('Pre-Test Entry'!$C$3:$AQ$3,Settings!$A$32,'Pre-Test Entry'!$C76:$AQ76)/Settings!$C$32),"")</f>
        <v/>
      </c>
      <c r="T76" s="37">
        <f>IFERROR(IF($D76="","",SUMIF('Pre-Test Entry'!$C$3:$AQ$3,Settings!$A$33,'Pre-Test Entry'!$C76:$AQ76)/Settings!$C$33),"")</f>
        <v/>
      </c>
      <c r="U76" s="37">
        <f>IFERROR(IF($D76="","",SUMIF('Pre-Test Entry'!$C$3:$AQ$3,Settings!$A$34,'Pre-Test Entry'!$C76:$AQ76)/Settings!$C$34),"")</f>
        <v/>
      </c>
      <c r="V76" s="37">
        <f>IFERROR(IF($G76="","",SUMIF('Post-Test Entry'!$C$3:$AQ$3,Settings!$A$28,'Post-Test Entry'!$C76:$AQ76)/Settings!$C$28),"")</f>
        <v/>
      </c>
      <c r="W76" s="37">
        <f>IFERROR(IF($G76="","",SUMIF('Post-Test Entry'!$C$3:$AQ$3,Settings!$A$29,'Post-Test Entry'!$C76:$AQ76)/Settings!$C$29),"")</f>
        <v/>
      </c>
      <c r="X76" s="37">
        <f>IFERROR(IF($G76="","",SUMIF('Post-Test Entry'!$C$3:$AQ$3,Settings!$A$30,'Post-Test Entry'!$C76:$AQ76)/Settings!$C$30),"")</f>
        <v/>
      </c>
      <c r="Y76" s="37">
        <f>IFERROR(IF($G76="","",SUMIF('Post-Test Entry'!$C$3:$AQ$3,Settings!$A$31,'Post-Test Entry'!$C76:$AQ76)/Settings!$C$31),"")</f>
        <v/>
      </c>
      <c r="Z76" s="37">
        <f>IFERROR(IF($G76="","",SUMIF('Post-Test Entry'!$C$3:$AQ$3,Settings!$A$32,'Post-Test Entry'!$C76:$AQ76)/Settings!$C$32),"")</f>
        <v/>
      </c>
      <c r="AA76" s="37">
        <f>IFERROR(IF($G76="","",SUMIF('Post-Test Entry'!$C$3:$AQ$3,Settings!$A$33,'Post-Test Entry'!$C76:$AQ76)/Settings!$C$33),"")</f>
        <v/>
      </c>
      <c r="AB76" s="37">
        <f>IFERROR(IF($G76="","",SUMIF('Post-Test Entry'!$C$3:$AQ$3,Settings!$A$34,'Post-Test Entry'!$C76:$AQ76)/Settings!$C$34),"")</f>
        <v/>
      </c>
      <c r="AC76" s="37">
        <f>IF(OR(O76="",V76=""),"",V76-O76)</f>
        <v/>
      </c>
      <c r="AD76" s="37">
        <f>IF(OR(P76="",W76=""),"",W76-P76)</f>
        <v/>
      </c>
      <c r="AE76" s="37">
        <f>IF(OR(Q76="",X76=""),"",X76-Q76)</f>
        <v/>
      </c>
      <c r="AF76" s="37">
        <f>IF(OR(R76="",Y76=""),"",Y76-R76)</f>
        <v/>
      </c>
      <c r="AG76" s="37">
        <f>IF(OR(S76="",Z76=""),"",Z76-S76)</f>
        <v/>
      </c>
      <c r="AH76" s="37">
        <f>IF(OR(T76="",AA76=""),"",AA76-T76)</f>
        <v/>
      </c>
      <c r="AI76" s="37">
        <f>IF(OR(U76="",AB76=""),"",AB76-U76)</f>
        <v/>
      </c>
      <c r="AJ76" s="30">
        <f>IFERROR(IF($G76&lt;&gt;"",INDEX($V$4:$AB$4,MATCH(MIN($V76:$AB76),$V76:$AB76,0)),IF($D76&lt;&gt;"",INDEX($O$4:$U$4,MATCH(MIN($O76:$U76),$O76:$U76,0)),"")),"")</f>
        <v/>
      </c>
      <c r="AK76" s="30">
        <f>IFERROR(IF($G76&lt;&gt;"",INDEX($V$4:$AB$4,MATCH(SMALL($V76:$AB76,2),$V76:$AB76,0)),IF($D76&lt;&gt;"",INDEX($O$4:$U$4,MATCH(SMALL($O76:$U76,2),$O76:$U76,0)),"")),"")</f>
        <v/>
      </c>
      <c r="AL76" s="30">
        <f>IF(OR(G76="",Settings!$B$17=""),"",IF(OR(ABS(G76-Settings!$B$5)&lt;=Settings!$B$17,ABS(G76-Settings!$B$6)&lt;=Settings!$B$17,ABS(G76-Settings!$B$7)&lt;=Settings!$B$17),"NEAR CUT",""))</f>
        <v/>
      </c>
      <c r="AM76" s="31">
        <f>IF('Post-Test Entry'!$AR76&lt;&gt;"","Post essay: code "&amp;'Post-Test Entry'!$AR76,IF('Pre-Test Entry'!$AR76&lt;&gt;"","Pre essay: code "&amp;'Pre-Test Entry'!$AR76,""))</f>
        <v/>
      </c>
      <c r="AN76" s="39">
        <f>IFERROR(IF($AJ76="","",INDEX(Settings!$D$28:$D$34,MATCH($AJ76,Settings!$A$28:$A$34,0))),"")</f>
        <v/>
      </c>
      <c r="AP76">
        <f>IF(D76="","",D76^2)</f>
        <v/>
      </c>
      <c r="AQ76">
        <f>IF(G76="","",G76^2)</f>
        <v/>
      </c>
    </row>
    <row r="77">
      <c r="A77" s="30">
        <f>IF(Roster!$A77="","",Roster!$A77)</f>
        <v/>
      </c>
      <c r="B77" s="31">
        <f>IF(Roster!$B77&lt;&gt;"",Roster!$C77&amp;" "&amp;Roster!$B77,"")</f>
        <v/>
      </c>
      <c r="C77" s="30">
        <f>IF(Roster!$B77&lt;&gt;"",Roster!$D77,"")</f>
        <v/>
      </c>
      <c r="D77" s="16">
        <f>IF(AND(Roster!$B77&lt;&gt;"",COUNT('Pre-Test Entry'!$C77:$AQ77)&gt;0),'Pre-Test Entry'!$AS77,"")</f>
        <v/>
      </c>
      <c r="E77" s="37">
        <f>IFERROR(D77/Settings!$B$8,"")</f>
        <v/>
      </c>
      <c r="F77" s="31">
        <f>IF(D77="","",IF(D77&gt;=Settings!$B$7,"Distinguished Learner",IF(D77&gt;=Settings!$B$6,"Proficient Learner",IF(D77&gt;=Settings!$B$5,"Developing Learner","Beginning Learner"))))</f>
        <v/>
      </c>
      <c r="G77" s="16">
        <f>IF(AND(Roster!$B77&lt;&gt;"",COUNT('Post-Test Entry'!$C77:$AQ77)&gt;0),'Post-Test Entry'!$AS77,"")</f>
        <v/>
      </c>
      <c r="H77" s="37">
        <f>IFERROR(G77/Settings!$B$8,"")</f>
        <v/>
      </c>
      <c r="I77" s="31">
        <f>IF(G77="","",IF(G77&gt;=Settings!$B$7,"Distinguished Learner",IF(G77&gt;=Settings!$B$6,"Proficient Learner",IF(G77&gt;=Settings!$B$5,"Developing Learner","Beginning Learner"))))</f>
        <v/>
      </c>
      <c r="J77" s="16">
        <f>IF(OR(D77="",G77=""),"",G77-D77)</f>
        <v/>
      </c>
      <c r="K77" s="37">
        <f>IFERROR(IF(OR(J77="",J77&lt;=0),"",(G77-D77)/(Settings!$B$8-D77)),"")</f>
        <v/>
      </c>
      <c r="L77" s="38">
        <f>IFERROR(IF(J77="","",(G77-D77)/(Settings!$B$17*SQRT(2))),"")</f>
        <v/>
      </c>
      <c r="M77" s="30">
        <f>IF(L77="","",IF(ABS(L77)&gt;=1.96,"Yes","No"))</f>
        <v/>
      </c>
      <c r="N77" s="30">
        <f>IF(J77="","",IF(J77&gt;=Settings!$B$15,"Yes","No"))</f>
        <v/>
      </c>
      <c r="O77" s="37">
        <f>IFERROR(IF($D77="","",SUMIF('Pre-Test Entry'!$C$3:$AQ$3,Settings!$A$28,'Pre-Test Entry'!$C77:$AQ77)/Settings!$C$28),"")</f>
        <v/>
      </c>
      <c r="P77" s="37">
        <f>IFERROR(IF($D77="","",SUMIF('Pre-Test Entry'!$C$3:$AQ$3,Settings!$A$29,'Pre-Test Entry'!$C77:$AQ77)/Settings!$C$29),"")</f>
        <v/>
      </c>
      <c r="Q77" s="37">
        <f>IFERROR(IF($D77="","",SUMIF('Pre-Test Entry'!$C$3:$AQ$3,Settings!$A$30,'Pre-Test Entry'!$C77:$AQ77)/Settings!$C$30),"")</f>
        <v/>
      </c>
      <c r="R77" s="37">
        <f>IFERROR(IF($D77="","",SUMIF('Pre-Test Entry'!$C$3:$AQ$3,Settings!$A$31,'Pre-Test Entry'!$C77:$AQ77)/Settings!$C$31),"")</f>
        <v/>
      </c>
      <c r="S77" s="37">
        <f>IFERROR(IF($D77="","",SUMIF('Pre-Test Entry'!$C$3:$AQ$3,Settings!$A$32,'Pre-Test Entry'!$C77:$AQ77)/Settings!$C$32),"")</f>
        <v/>
      </c>
      <c r="T77" s="37">
        <f>IFERROR(IF($D77="","",SUMIF('Pre-Test Entry'!$C$3:$AQ$3,Settings!$A$33,'Pre-Test Entry'!$C77:$AQ77)/Settings!$C$33),"")</f>
        <v/>
      </c>
      <c r="U77" s="37">
        <f>IFERROR(IF($D77="","",SUMIF('Pre-Test Entry'!$C$3:$AQ$3,Settings!$A$34,'Pre-Test Entry'!$C77:$AQ77)/Settings!$C$34),"")</f>
        <v/>
      </c>
      <c r="V77" s="37">
        <f>IFERROR(IF($G77="","",SUMIF('Post-Test Entry'!$C$3:$AQ$3,Settings!$A$28,'Post-Test Entry'!$C77:$AQ77)/Settings!$C$28),"")</f>
        <v/>
      </c>
      <c r="W77" s="37">
        <f>IFERROR(IF($G77="","",SUMIF('Post-Test Entry'!$C$3:$AQ$3,Settings!$A$29,'Post-Test Entry'!$C77:$AQ77)/Settings!$C$29),"")</f>
        <v/>
      </c>
      <c r="X77" s="37">
        <f>IFERROR(IF($G77="","",SUMIF('Post-Test Entry'!$C$3:$AQ$3,Settings!$A$30,'Post-Test Entry'!$C77:$AQ77)/Settings!$C$30),"")</f>
        <v/>
      </c>
      <c r="Y77" s="37">
        <f>IFERROR(IF($G77="","",SUMIF('Post-Test Entry'!$C$3:$AQ$3,Settings!$A$31,'Post-Test Entry'!$C77:$AQ77)/Settings!$C$31),"")</f>
        <v/>
      </c>
      <c r="Z77" s="37">
        <f>IFERROR(IF($G77="","",SUMIF('Post-Test Entry'!$C$3:$AQ$3,Settings!$A$32,'Post-Test Entry'!$C77:$AQ77)/Settings!$C$32),"")</f>
        <v/>
      </c>
      <c r="AA77" s="37">
        <f>IFERROR(IF($G77="","",SUMIF('Post-Test Entry'!$C$3:$AQ$3,Settings!$A$33,'Post-Test Entry'!$C77:$AQ77)/Settings!$C$33),"")</f>
        <v/>
      </c>
      <c r="AB77" s="37">
        <f>IFERROR(IF($G77="","",SUMIF('Post-Test Entry'!$C$3:$AQ$3,Settings!$A$34,'Post-Test Entry'!$C77:$AQ77)/Settings!$C$34),"")</f>
        <v/>
      </c>
      <c r="AC77" s="37">
        <f>IF(OR(O77="",V77=""),"",V77-O77)</f>
        <v/>
      </c>
      <c r="AD77" s="37">
        <f>IF(OR(P77="",W77=""),"",W77-P77)</f>
        <v/>
      </c>
      <c r="AE77" s="37">
        <f>IF(OR(Q77="",X77=""),"",X77-Q77)</f>
        <v/>
      </c>
      <c r="AF77" s="37">
        <f>IF(OR(R77="",Y77=""),"",Y77-R77)</f>
        <v/>
      </c>
      <c r="AG77" s="37">
        <f>IF(OR(S77="",Z77=""),"",Z77-S77)</f>
        <v/>
      </c>
      <c r="AH77" s="37">
        <f>IF(OR(T77="",AA77=""),"",AA77-T77)</f>
        <v/>
      </c>
      <c r="AI77" s="37">
        <f>IF(OR(U77="",AB77=""),"",AB77-U77)</f>
        <v/>
      </c>
      <c r="AJ77" s="30">
        <f>IFERROR(IF($G77&lt;&gt;"",INDEX($V$4:$AB$4,MATCH(MIN($V77:$AB77),$V77:$AB77,0)),IF($D77&lt;&gt;"",INDEX($O$4:$U$4,MATCH(MIN($O77:$U77),$O77:$U77,0)),"")),"")</f>
        <v/>
      </c>
      <c r="AK77" s="30">
        <f>IFERROR(IF($G77&lt;&gt;"",INDEX($V$4:$AB$4,MATCH(SMALL($V77:$AB77,2),$V77:$AB77,0)),IF($D77&lt;&gt;"",INDEX($O$4:$U$4,MATCH(SMALL($O77:$U77,2),$O77:$U77,0)),"")),"")</f>
        <v/>
      </c>
      <c r="AL77" s="30">
        <f>IF(OR(G77="",Settings!$B$17=""),"",IF(OR(ABS(G77-Settings!$B$5)&lt;=Settings!$B$17,ABS(G77-Settings!$B$6)&lt;=Settings!$B$17,ABS(G77-Settings!$B$7)&lt;=Settings!$B$17),"NEAR CUT",""))</f>
        <v/>
      </c>
      <c r="AM77" s="31">
        <f>IF('Post-Test Entry'!$AR77&lt;&gt;"","Post essay: code "&amp;'Post-Test Entry'!$AR77,IF('Pre-Test Entry'!$AR77&lt;&gt;"","Pre essay: code "&amp;'Pre-Test Entry'!$AR77,""))</f>
        <v/>
      </c>
      <c r="AN77" s="39">
        <f>IFERROR(IF($AJ77="","",INDEX(Settings!$D$28:$D$34,MATCH($AJ77,Settings!$A$28:$A$34,0))),"")</f>
        <v/>
      </c>
      <c r="AP77">
        <f>IF(D77="","",D77^2)</f>
        <v/>
      </c>
      <c r="AQ77">
        <f>IF(G77="","",G77^2)</f>
        <v/>
      </c>
    </row>
    <row r="78">
      <c r="A78" s="30">
        <f>IF(Roster!$A78="","",Roster!$A78)</f>
        <v/>
      </c>
      <c r="B78" s="31">
        <f>IF(Roster!$B78&lt;&gt;"",Roster!$C78&amp;" "&amp;Roster!$B78,"")</f>
        <v/>
      </c>
      <c r="C78" s="30">
        <f>IF(Roster!$B78&lt;&gt;"",Roster!$D78,"")</f>
        <v/>
      </c>
      <c r="D78" s="16">
        <f>IF(AND(Roster!$B78&lt;&gt;"",COUNT('Pre-Test Entry'!$C78:$AQ78)&gt;0),'Pre-Test Entry'!$AS78,"")</f>
        <v/>
      </c>
      <c r="E78" s="37">
        <f>IFERROR(D78/Settings!$B$8,"")</f>
        <v/>
      </c>
      <c r="F78" s="31">
        <f>IF(D78="","",IF(D78&gt;=Settings!$B$7,"Distinguished Learner",IF(D78&gt;=Settings!$B$6,"Proficient Learner",IF(D78&gt;=Settings!$B$5,"Developing Learner","Beginning Learner"))))</f>
        <v/>
      </c>
      <c r="G78" s="16">
        <f>IF(AND(Roster!$B78&lt;&gt;"",COUNT('Post-Test Entry'!$C78:$AQ78)&gt;0),'Post-Test Entry'!$AS78,"")</f>
        <v/>
      </c>
      <c r="H78" s="37">
        <f>IFERROR(G78/Settings!$B$8,"")</f>
        <v/>
      </c>
      <c r="I78" s="31">
        <f>IF(G78="","",IF(G78&gt;=Settings!$B$7,"Distinguished Learner",IF(G78&gt;=Settings!$B$6,"Proficient Learner",IF(G78&gt;=Settings!$B$5,"Developing Learner","Beginning Learner"))))</f>
        <v/>
      </c>
      <c r="J78" s="16">
        <f>IF(OR(D78="",G78=""),"",G78-D78)</f>
        <v/>
      </c>
      <c r="K78" s="37">
        <f>IFERROR(IF(OR(J78="",J78&lt;=0),"",(G78-D78)/(Settings!$B$8-D78)),"")</f>
        <v/>
      </c>
      <c r="L78" s="38">
        <f>IFERROR(IF(J78="","",(G78-D78)/(Settings!$B$17*SQRT(2))),"")</f>
        <v/>
      </c>
      <c r="M78" s="30">
        <f>IF(L78="","",IF(ABS(L78)&gt;=1.96,"Yes","No"))</f>
        <v/>
      </c>
      <c r="N78" s="30">
        <f>IF(J78="","",IF(J78&gt;=Settings!$B$15,"Yes","No"))</f>
        <v/>
      </c>
      <c r="O78" s="37">
        <f>IFERROR(IF($D78="","",SUMIF('Pre-Test Entry'!$C$3:$AQ$3,Settings!$A$28,'Pre-Test Entry'!$C78:$AQ78)/Settings!$C$28),"")</f>
        <v/>
      </c>
      <c r="P78" s="37">
        <f>IFERROR(IF($D78="","",SUMIF('Pre-Test Entry'!$C$3:$AQ$3,Settings!$A$29,'Pre-Test Entry'!$C78:$AQ78)/Settings!$C$29),"")</f>
        <v/>
      </c>
      <c r="Q78" s="37">
        <f>IFERROR(IF($D78="","",SUMIF('Pre-Test Entry'!$C$3:$AQ$3,Settings!$A$30,'Pre-Test Entry'!$C78:$AQ78)/Settings!$C$30),"")</f>
        <v/>
      </c>
      <c r="R78" s="37">
        <f>IFERROR(IF($D78="","",SUMIF('Pre-Test Entry'!$C$3:$AQ$3,Settings!$A$31,'Pre-Test Entry'!$C78:$AQ78)/Settings!$C$31),"")</f>
        <v/>
      </c>
      <c r="S78" s="37">
        <f>IFERROR(IF($D78="","",SUMIF('Pre-Test Entry'!$C$3:$AQ$3,Settings!$A$32,'Pre-Test Entry'!$C78:$AQ78)/Settings!$C$32),"")</f>
        <v/>
      </c>
      <c r="T78" s="37">
        <f>IFERROR(IF($D78="","",SUMIF('Pre-Test Entry'!$C$3:$AQ$3,Settings!$A$33,'Pre-Test Entry'!$C78:$AQ78)/Settings!$C$33),"")</f>
        <v/>
      </c>
      <c r="U78" s="37">
        <f>IFERROR(IF($D78="","",SUMIF('Pre-Test Entry'!$C$3:$AQ$3,Settings!$A$34,'Pre-Test Entry'!$C78:$AQ78)/Settings!$C$34),"")</f>
        <v/>
      </c>
      <c r="V78" s="37">
        <f>IFERROR(IF($G78="","",SUMIF('Post-Test Entry'!$C$3:$AQ$3,Settings!$A$28,'Post-Test Entry'!$C78:$AQ78)/Settings!$C$28),"")</f>
        <v/>
      </c>
      <c r="W78" s="37">
        <f>IFERROR(IF($G78="","",SUMIF('Post-Test Entry'!$C$3:$AQ$3,Settings!$A$29,'Post-Test Entry'!$C78:$AQ78)/Settings!$C$29),"")</f>
        <v/>
      </c>
      <c r="X78" s="37">
        <f>IFERROR(IF($G78="","",SUMIF('Post-Test Entry'!$C$3:$AQ$3,Settings!$A$30,'Post-Test Entry'!$C78:$AQ78)/Settings!$C$30),"")</f>
        <v/>
      </c>
      <c r="Y78" s="37">
        <f>IFERROR(IF($G78="","",SUMIF('Post-Test Entry'!$C$3:$AQ$3,Settings!$A$31,'Post-Test Entry'!$C78:$AQ78)/Settings!$C$31),"")</f>
        <v/>
      </c>
      <c r="Z78" s="37">
        <f>IFERROR(IF($G78="","",SUMIF('Post-Test Entry'!$C$3:$AQ$3,Settings!$A$32,'Post-Test Entry'!$C78:$AQ78)/Settings!$C$32),"")</f>
        <v/>
      </c>
      <c r="AA78" s="37">
        <f>IFERROR(IF($G78="","",SUMIF('Post-Test Entry'!$C$3:$AQ$3,Settings!$A$33,'Post-Test Entry'!$C78:$AQ78)/Settings!$C$33),"")</f>
        <v/>
      </c>
      <c r="AB78" s="37">
        <f>IFERROR(IF($G78="","",SUMIF('Post-Test Entry'!$C$3:$AQ$3,Settings!$A$34,'Post-Test Entry'!$C78:$AQ78)/Settings!$C$34),"")</f>
        <v/>
      </c>
      <c r="AC78" s="37">
        <f>IF(OR(O78="",V78=""),"",V78-O78)</f>
        <v/>
      </c>
      <c r="AD78" s="37">
        <f>IF(OR(P78="",W78=""),"",W78-P78)</f>
        <v/>
      </c>
      <c r="AE78" s="37">
        <f>IF(OR(Q78="",X78=""),"",X78-Q78)</f>
        <v/>
      </c>
      <c r="AF78" s="37">
        <f>IF(OR(R78="",Y78=""),"",Y78-R78)</f>
        <v/>
      </c>
      <c r="AG78" s="37">
        <f>IF(OR(S78="",Z78=""),"",Z78-S78)</f>
        <v/>
      </c>
      <c r="AH78" s="37">
        <f>IF(OR(T78="",AA78=""),"",AA78-T78)</f>
        <v/>
      </c>
      <c r="AI78" s="37">
        <f>IF(OR(U78="",AB78=""),"",AB78-U78)</f>
        <v/>
      </c>
      <c r="AJ78" s="30">
        <f>IFERROR(IF($G78&lt;&gt;"",INDEX($V$4:$AB$4,MATCH(MIN($V78:$AB78),$V78:$AB78,0)),IF($D78&lt;&gt;"",INDEX($O$4:$U$4,MATCH(MIN($O78:$U78),$O78:$U78,0)),"")),"")</f>
        <v/>
      </c>
      <c r="AK78" s="30">
        <f>IFERROR(IF($G78&lt;&gt;"",INDEX($V$4:$AB$4,MATCH(SMALL($V78:$AB78,2),$V78:$AB78,0)),IF($D78&lt;&gt;"",INDEX($O$4:$U$4,MATCH(SMALL($O78:$U78,2),$O78:$U78,0)),"")),"")</f>
        <v/>
      </c>
      <c r="AL78" s="30">
        <f>IF(OR(G78="",Settings!$B$17=""),"",IF(OR(ABS(G78-Settings!$B$5)&lt;=Settings!$B$17,ABS(G78-Settings!$B$6)&lt;=Settings!$B$17,ABS(G78-Settings!$B$7)&lt;=Settings!$B$17),"NEAR CUT",""))</f>
        <v/>
      </c>
      <c r="AM78" s="31">
        <f>IF('Post-Test Entry'!$AR78&lt;&gt;"","Post essay: code "&amp;'Post-Test Entry'!$AR78,IF('Pre-Test Entry'!$AR78&lt;&gt;"","Pre essay: code "&amp;'Pre-Test Entry'!$AR78,""))</f>
        <v/>
      </c>
      <c r="AN78" s="39">
        <f>IFERROR(IF($AJ78="","",INDEX(Settings!$D$28:$D$34,MATCH($AJ78,Settings!$A$28:$A$34,0))),"")</f>
        <v/>
      </c>
      <c r="AP78">
        <f>IF(D78="","",D78^2)</f>
        <v/>
      </c>
      <c r="AQ78">
        <f>IF(G78="","",G78^2)</f>
        <v/>
      </c>
    </row>
    <row r="79">
      <c r="A79" s="30">
        <f>IF(Roster!$A79="","",Roster!$A79)</f>
        <v/>
      </c>
      <c r="B79" s="31">
        <f>IF(Roster!$B79&lt;&gt;"",Roster!$C79&amp;" "&amp;Roster!$B79,"")</f>
        <v/>
      </c>
      <c r="C79" s="30">
        <f>IF(Roster!$B79&lt;&gt;"",Roster!$D79,"")</f>
        <v/>
      </c>
      <c r="D79" s="16">
        <f>IF(AND(Roster!$B79&lt;&gt;"",COUNT('Pre-Test Entry'!$C79:$AQ79)&gt;0),'Pre-Test Entry'!$AS79,"")</f>
        <v/>
      </c>
      <c r="E79" s="37">
        <f>IFERROR(D79/Settings!$B$8,"")</f>
        <v/>
      </c>
      <c r="F79" s="31">
        <f>IF(D79="","",IF(D79&gt;=Settings!$B$7,"Distinguished Learner",IF(D79&gt;=Settings!$B$6,"Proficient Learner",IF(D79&gt;=Settings!$B$5,"Developing Learner","Beginning Learner"))))</f>
        <v/>
      </c>
      <c r="G79" s="16">
        <f>IF(AND(Roster!$B79&lt;&gt;"",COUNT('Post-Test Entry'!$C79:$AQ79)&gt;0),'Post-Test Entry'!$AS79,"")</f>
        <v/>
      </c>
      <c r="H79" s="37">
        <f>IFERROR(G79/Settings!$B$8,"")</f>
        <v/>
      </c>
      <c r="I79" s="31">
        <f>IF(G79="","",IF(G79&gt;=Settings!$B$7,"Distinguished Learner",IF(G79&gt;=Settings!$B$6,"Proficient Learner",IF(G79&gt;=Settings!$B$5,"Developing Learner","Beginning Learner"))))</f>
        <v/>
      </c>
      <c r="J79" s="16">
        <f>IF(OR(D79="",G79=""),"",G79-D79)</f>
        <v/>
      </c>
      <c r="K79" s="37">
        <f>IFERROR(IF(OR(J79="",J79&lt;=0),"",(G79-D79)/(Settings!$B$8-D79)),"")</f>
        <v/>
      </c>
      <c r="L79" s="38">
        <f>IFERROR(IF(J79="","",(G79-D79)/(Settings!$B$17*SQRT(2))),"")</f>
        <v/>
      </c>
      <c r="M79" s="30">
        <f>IF(L79="","",IF(ABS(L79)&gt;=1.96,"Yes","No"))</f>
        <v/>
      </c>
      <c r="N79" s="30">
        <f>IF(J79="","",IF(J79&gt;=Settings!$B$15,"Yes","No"))</f>
        <v/>
      </c>
      <c r="O79" s="37">
        <f>IFERROR(IF($D79="","",SUMIF('Pre-Test Entry'!$C$3:$AQ$3,Settings!$A$28,'Pre-Test Entry'!$C79:$AQ79)/Settings!$C$28),"")</f>
        <v/>
      </c>
      <c r="P79" s="37">
        <f>IFERROR(IF($D79="","",SUMIF('Pre-Test Entry'!$C$3:$AQ$3,Settings!$A$29,'Pre-Test Entry'!$C79:$AQ79)/Settings!$C$29),"")</f>
        <v/>
      </c>
      <c r="Q79" s="37">
        <f>IFERROR(IF($D79="","",SUMIF('Pre-Test Entry'!$C$3:$AQ$3,Settings!$A$30,'Pre-Test Entry'!$C79:$AQ79)/Settings!$C$30),"")</f>
        <v/>
      </c>
      <c r="R79" s="37">
        <f>IFERROR(IF($D79="","",SUMIF('Pre-Test Entry'!$C$3:$AQ$3,Settings!$A$31,'Pre-Test Entry'!$C79:$AQ79)/Settings!$C$31),"")</f>
        <v/>
      </c>
      <c r="S79" s="37">
        <f>IFERROR(IF($D79="","",SUMIF('Pre-Test Entry'!$C$3:$AQ$3,Settings!$A$32,'Pre-Test Entry'!$C79:$AQ79)/Settings!$C$32),"")</f>
        <v/>
      </c>
      <c r="T79" s="37">
        <f>IFERROR(IF($D79="","",SUMIF('Pre-Test Entry'!$C$3:$AQ$3,Settings!$A$33,'Pre-Test Entry'!$C79:$AQ79)/Settings!$C$33),"")</f>
        <v/>
      </c>
      <c r="U79" s="37">
        <f>IFERROR(IF($D79="","",SUMIF('Pre-Test Entry'!$C$3:$AQ$3,Settings!$A$34,'Pre-Test Entry'!$C79:$AQ79)/Settings!$C$34),"")</f>
        <v/>
      </c>
      <c r="V79" s="37">
        <f>IFERROR(IF($G79="","",SUMIF('Post-Test Entry'!$C$3:$AQ$3,Settings!$A$28,'Post-Test Entry'!$C79:$AQ79)/Settings!$C$28),"")</f>
        <v/>
      </c>
      <c r="W79" s="37">
        <f>IFERROR(IF($G79="","",SUMIF('Post-Test Entry'!$C$3:$AQ$3,Settings!$A$29,'Post-Test Entry'!$C79:$AQ79)/Settings!$C$29),"")</f>
        <v/>
      </c>
      <c r="X79" s="37">
        <f>IFERROR(IF($G79="","",SUMIF('Post-Test Entry'!$C$3:$AQ$3,Settings!$A$30,'Post-Test Entry'!$C79:$AQ79)/Settings!$C$30),"")</f>
        <v/>
      </c>
      <c r="Y79" s="37">
        <f>IFERROR(IF($G79="","",SUMIF('Post-Test Entry'!$C$3:$AQ$3,Settings!$A$31,'Post-Test Entry'!$C79:$AQ79)/Settings!$C$31),"")</f>
        <v/>
      </c>
      <c r="Z79" s="37">
        <f>IFERROR(IF($G79="","",SUMIF('Post-Test Entry'!$C$3:$AQ$3,Settings!$A$32,'Post-Test Entry'!$C79:$AQ79)/Settings!$C$32),"")</f>
        <v/>
      </c>
      <c r="AA79" s="37">
        <f>IFERROR(IF($G79="","",SUMIF('Post-Test Entry'!$C$3:$AQ$3,Settings!$A$33,'Post-Test Entry'!$C79:$AQ79)/Settings!$C$33),"")</f>
        <v/>
      </c>
      <c r="AB79" s="37">
        <f>IFERROR(IF($G79="","",SUMIF('Post-Test Entry'!$C$3:$AQ$3,Settings!$A$34,'Post-Test Entry'!$C79:$AQ79)/Settings!$C$34),"")</f>
        <v/>
      </c>
      <c r="AC79" s="37">
        <f>IF(OR(O79="",V79=""),"",V79-O79)</f>
        <v/>
      </c>
      <c r="AD79" s="37">
        <f>IF(OR(P79="",W79=""),"",W79-P79)</f>
        <v/>
      </c>
      <c r="AE79" s="37">
        <f>IF(OR(Q79="",X79=""),"",X79-Q79)</f>
        <v/>
      </c>
      <c r="AF79" s="37">
        <f>IF(OR(R79="",Y79=""),"",Y79-R79)</f>
        <v/>
      </c>
      <c r="AG79" s="37">
        <f>IF(OR(S79="",Z79=""),"",Z79-S79)</f>
        <v/>
      </c>
      <c r="AH79" s="37">
        <f>IF(OR(T79="",AA79=""),"",AA79-T79)</f>
        <v/>
      </c>
      <c r="AI79" s="37">
        <f>IF(OR(U79="",AB79=""),"",AB79-U79)</f>
        <v/>
      </c>
      <c r="AJ79" s="30">
        <f>IFERROR(IF($G79&lt;&gt;"",INDEX($V$4:$AB$4,MATCH(MIN($V79:$AB79),$V79:$AB79,0)),IF($D79&lt;&gt;"",INDEX($O$4:$U$4,MATCH(MIN($O79:$U79),$O79:$U79,0)),"")),"")</f>
        <v/>
      </c>
      <c r="AK79" s="30">
        <f>IFERROR(IF($G79&lt;&gt;"",INDEX($V$4:$AB$4,MATCH(SMALL($V79:$AB79,2),$V79:$AB79,0)),IF($D79&lt;&gt;"",INDEX($O$4:$U$4,MATCH(SMALL($O79:$U79,2),$O79:$U79,0)),"")),"")</f>
        <v/>
      </c>
      <c r="AL79" s="30">
        <f>IF(OR(G79="",Settings!$B$17=""),"",IF(OR(ABS(G79-Settings!$B$5)&lt;=Settings!$B$17,ABS(G79-Settings!$B$6)&lt;=Settings!$B$17,ABS(G79-Settings!$B$7)&lt;=Settings!$B$17),"NEAR CUT",""))</f>
        <v/>
      </c>
      <c r="AM79" s="31">
        <f>IF('Post-Test Entry'!$AR79&lt;&gt;"","Post essay: code "&amp;'Post-Test Entry'!$AR79,IF('Pre-Test Entry'!$AR79&lt;&gt;"","Pre essay: code "&amp;'Pre-Test Entry'!$AR79,""))</f>
        <v/>
      </c>
      <c r="AN79" s="39">
        <f>IFERROR(IF($AJ79="","",INDEX(Settings!$D$28:$D$34,MATCH($AJ79,Settings!$A$28:$A$34,0))),"")</f>
        <v/>
      </c>
      <c r="AP79">
        <f>IF(D79="","",D79^2)</f>
        <v/>
      </c>
      <c r="AQ79">
        <f>IF(G79="","",G79^2)</f>
        <v/>
      </c>
    </row>
    <row r="80">
      <c r="A80" s="30">
        <f>IF(Roster!$A80="","",Roster!$A80)</f>
        <v/>
      </c>
      <c r="B80" s="31">
        <f>IF(Roster!$B80&lt;&gt;"",Roster!$C80&amp;" "&amp;Roster!$B80,"")</f>
        <v/>
      </c>
      <c r="C80" s="30">
        <f>IF(Roster!$B80&lt;&gt;"",Roster!$D80,"")</f>
        <v/>
      </c>
      <c r="D80" s="16">
        <f>IF(AND(Roster!$B80&lt;&gt;"",COUNT('Pre-Test Entry'!$C80:$AQ80)&gt;0),'Pre-Test Entry'!$AS80,"")</f>
        <v/>
      </c>
      <c r="E80" s="37">
        <f>IFERROR(D80/Settings!$B$8,"")</f>
        <v/>
      </c>
      <c r="F80" s="31">
        <f>IF(D80="","",IF(D80&gt;=Settings!$B$7,"Distinguished Learner",IF(D80&gt;=Settings!$B$6,"Proficient Learner",IF(D80&gt;=Settings!$B$5,"Developing Learner","Beginning Learner"))))</f>
        <v/>
      </c>
      <c r="G80" s="16">
        <f>IF(AND(Roster!$B80&lt;&gt;"",COUNT('Post-Test Entry'!$C80:$AQ80)&gt;0),'Post-Test Entry'!$AS80,"")</f>
        <v/>
      </c>
      <c r="H80" s="37">
        <f>IFERROR(G80/Settings!$B$8,"")</f>
        <v/>
      </c>
      <c r="I80" s="31">
        <f>IF(G80="","",IF(G80&gt;=Settings!$B$7,"Distinguished Learner",IF(G80&gt;=Settings!$B$6,"Proficient Learner",IF(G80&gt;=Settings!$B$5,"Developing Learner","Beginning Learner"))))</f>
        <v/>
      </c>
      <c r="J80" s="16">
        <f>IF(OR(D80="",G80=""),"",G80-D80)</f>
        <v/>
      </c>
      <c r="K80" s="37">
        <f>IFERROR(IF(OR(J80="",J80&lt;=0),"",(G80-D80)/(Settings!$B$8-D80)),"")</f>
        <v/>
      </c>
      <c r="L80" s="38">
        <f>IFERROR(IF(J80="","",(G80-D80)/(Settings!$B$17*SQRT(2))),"")</f>
        <v/>
      </c>
      <c r="M80" s="30">
        <f>IF(L80="","",IF(ABS(L80)&gt;=1.96,"Yes","No"))</f>
        <v/>
      </c>
      <c r="N80" s="30">
        <f>IF(J80="","",IF(J80&gt;=Settings!$B$15,"Yes","No"))</f>
        <v/>
      </c>
      <c r="O80" s="37">
        <f>IFERROR(IF($D80="","",SUMIF('Pre-Test Entry'!$C$3:$AQ$3,Settings!$A$28,'Pre-Test Entry'!$C80:$AQ80)/Settings!$C$28),"")</f>
        <v/>
      </c>
      <c r="P80" s="37">
        <f>IFERROR(IF($D80="","",SUMIF('Pre-Test Entry'!$C$3:$AQ$3,Settings!$A$29,'Pre-Test Entry'!$C80:$AQ80)/Settings!$C$29),"")</f>
        <v/>
      </c>
      <c r="Q80" s="37">
        <f>IFERROR(IF($D80="","",SUMIF('Pre-Test Entry'!$C$3:$AQ$3,Settings!$A$30,'Pre-Test Entry'!$C80:$AQ80)/Settings!$C$30),"")</f>
        <v/>
      </c>
      <c r="R80" s="37">
        <f>IFERROR(IF($D80="","",SUMIF('Pre-Test Entry'!$C$3:$AQ$3,Settings!$A$31,'Pre-Test Entry'!$C80:$AQ80)/Settings!$C$31),"")</f>
        <v/>
      </c>
      <c r="S80" s="37">
        <f>IFERROR(IF($D80="","",SUMIF('Pre-Test Entry'!$C$3:$AQ$3,Settings!$A$32,'Pre-Test Entry'!$C80:$AQ80)/Settings!$C$32),"")</f>
        <v/>
      </c>
      <c r="T80" s="37">
        <f>IFERROR(IF($D80="","",SUMIF('Pre-Test Entry'!$C$3:$AQ$3,Settings!$A$33,'Pre-Test Entry'!$C80:$AQ80)/Settings!$C$33),"")</f>
        <v/>
      </c>
      <c r="U80" s="37">
        <f>IFERROR(IF($D80="","",SUMIF('Pre-Test Entry'!$C$3:$AQ$3,Settings!$A$34,'Pre-Test Entry'!$C80:$AQ80)/Settings!$C$34),"")</f>
        <v/>
      </c>
      <c r="V80" s="37">
        <f>IFERROR(IF($G80="","",SUMIF('Post-Test Entry'!$C$3:$AQ$3,Settings!$A$28,'Post-Test Entry'!$C80:$AQ80)/Settings!$C$28),"")</f>
        <v/>
      </c>
      <c r="W80" s="37">
        <f>IFERROR(IF($G80="","",SUMIF('Post-Test Entry'!$C$3:$AQ$3,Settings!$A$29,'Post-Test Entry'!$C80:$AQ80)/Settings!$C$29),"")</f>
        <v/>
      </c>
      <c r="X80" s="37">
        <f>IFERROR(IF($G80="","",SUMIF('Post-Test Entry'!$C$3:$AQ$3,Settings!$A$30,'Post-Test Entry'!$C80:$AQ80)/Settings!$C$30),"")</f>
        <v/>
      </c>
      <c r="Y80" s="37">
        <f>IFERROR(IF($G80="","",SUMIF('Post-Test Entry'!$C$3:$AQ$3,Settings!$A$31,'Post-Test Entry'!$C80:$AQ80)/Settings!$C$31),"")</f>
        <v/>
      </c>
      <c r="Z80" s="37">
        <f>IFERROR(IF($G80="","",SUMIF('Post-Test Entry'!$C$3:$AQ$3,Settings!$A$32,'Post-Test Entry'!$C80:$AQ80)/Settings!$C$32),"")</f>
        <v/>
      </c>
      <c r="AA80" s="37">
        <f>IFERROR(IF($G80="","",SUMIF('Post-Test Entry'!$C$3:$AQ$3,Settings!$A$33,'Post-Test Entry'!$C80:$AQ80)/Settings!$C$33),"")</f>
        <v/>
      </c>
      <c r="AB80" s="37">
        <f>IFERROR(IF($G80="","",SUMIF('Post-Test Entry'!$C$3:$AQ$3,Settings!$A$34,'Post-Test Entry'!$C80:$AQ80)/Settings!$C$34),"")</f>
        <v/>
      </c>
      <c r="AC80" s="37">
        <f>IF(OR(O80="",V80=""),"",V80-O80)</f>
        <v/>
      </c>
      <c r="AD80" s="37">
        <f>IF(OR(P80="",W80=""),"",W80-P80)</f>
        <v/>
      </c>
      <c r="AE80" s="37">
        <f>IF(OR(Q80="",X80=""),"",X80-Q80)</f>
        <v/>
      </c>
      <c r="AF80" s="37">
        <f>IF(OR(R80="",Y80=""),"",Y80-R80)</f>
        <v/>
      </c>
      <c r="AG80" s="37">
        <f>IF(OR(S80="",Z80=""),"",Z80-S80)</f>
        <v/>
      </c>
      <c r="AH80" s="37">
        <f>IF(OR(T80="",AA80=""),"",AA80-T80)</f>
        <v/>
      </c>
      <c r="AI80" s="37">
        <f>IF(OR(U80="",AB80=""),"",AB80-U80)</f>
        <v/>
      </c>
      <c r="AJ80" s="30">
        <f>IFERROR(IF($G80&lt;&gt;"",INDEX($V$4:$AB$4,MATCH(MIN($V80:$AB80),$V80:$AB80,0)),IF($D80&lt;&gt;"",INDEX($O$4:$U$4,MATCH(MIN($O80:$U80),$O80:$U80,0)),"")),"")</f>
        <v/>
      </c>
      <c r="AK80" s="30">
        <f>IFERROR(IF($G80&lt;&gt;"",INDEX($V$4:$AB$4,MATCH(SMALL($V80:$AB80,2),$V80:$AB80,0)),IF($D80&lt;&gt;"",INDEX($O$4:$U$4,MATCH(SMALL($O80:$U80,2),$O80:$U80,0)),"")),"")</f>
        <v/>
      </c>
      <c r="AL80" s="30">
        <f>IF(OR(G80="",Settings!$B$17=""),"",IF(OR(ABS(G80-Settings!$B$5)&lt;=Settings!$B$17,ABS(G80-Settings!$B$6)&lt;=Settings!$B$17,ABS(G80-Settings!$B$7)&lt;=Settings!$B$17),"NEAR CUT",""))</f>
        <v/>
      </c>
      <c r="AM80" s="31">
        <f>IF('Post-Test Entry'!$AR80&lt;&gt;"","Post essay: code "&amp;'Post-Test Entry'!$AR80,IF('Pre-Test Entry'!$AR80&lt;&gt;"","Pre essay: code "&amp;'Pre-Test Entry'!$AR80,""))</f>
        <v/>
      </c>
      <c r="AN80" s="39">
        <f>IFERROR(IF($AJ80="","",INDEX(Settings!$D$28:$D$34,MATCH($AJ80,Settings!$A$28:$A$34,0))),"")</f>
        <v/>
      </c>
      <c r="AP80">
        <f>IF(D80="","",D80^2)</f>
        <v/>
      </c>
      <c r="AQ80">
        <f>IF(G80="","",G80^2)</f>
        <v/>
      </c>
    </row>
    <row r="81">
      <c r="A81" s="30">
        <f>IF(Roster!$A81="","",Roster!$A81)</f>
        <v/>
      </c>
      <c r="B81" s="31">
        <f>IF(Roster!$B81&lt;&gt;"",Roster!$C81&amp;" "&amp;Roster!$B81,"")</f>
        <v/>
      </c>
      <c r="C81" s="30">
        <f>IF(Roster!$B81&lt;&gt;"",Roster!$D81,"")</f>
        <v/>
      </c>
      <c r="D81" s="16">
        <f>IF(AND(Roster!$B81&lt;&gt;"",COUNT('Pre-Test Entry'!$C81:$AQ81)&gt;0),'Pre-Test Entry'!$AS81,"")</f>
        <v/>
      </c>
      <c r="E81" s="37">
        <f>IFERROR(D81/Settings!$B$8,"")</f>
        <v/>
      </c>
      <c r="F81" s="31">
        <f>IF(D81="","",IF(D81&gt;=Settings!$B$7,"Distinguished Learner",IF(D81&gt;=Settings!$B$6,"Proficient Learner",IF(D81&gt;=Settings!$B$5,"Developing Learner","Beginning Learner"))))</f>
        <v/>
      </c>
      <c r="G81" s="16">
        <f>IF(AND(Roster!$B81&lt;&gt;"",COUNT('Post-Test Entry'!$C81:$AQ81)&gt;0),'Post-Test Entry'!$AS81,"")</f>
        <v/>
      </c>
      <c r="H81" s="37">
        <f>IFERROR(G81/Settings!$B$8,"")</f>
        <v/>
      </c>
      <c r="I81" s="31">
        <f>IF(G81="","",IF(G81&gt;=Settings!$B$7,"Distinguished Learner",IF(G81&gt;=Settings!$B$6,"Proficient Learner",IF(G81&gt;=Settings!$B$5,"Developing Learner","Beginning Learner"))))</f>
        <v/>
      </c>
      <c r="J81" s="16">
        <f>IF(OR(D81="",G81=""),"",G81-D81)</f>
        <v/>
      </c>
      <c r="K81" s="37">
        <f>IFERROR(IF(OR(J81="",J81&lt;=0),"",(G81-D81)/(Settings!$B$8-D81)),"")</f>
        <v/>
      </c>
      <c r="L81" s="38">
        <f>IFERROR(IF(J81="","",(G81-D81)/(Settings!$B$17*SQRT(2))),"")</f>
        <v/>
      </c>
      <c r="M81" s="30">
        <f>IF(L81="","",IF(ABS(L81)&gt;=1.96,"Yes","No"))</f>
        <v/>
      </c>
      <c r="N81" s="30">
        <f>IF(J81="","",IF(J81&gt;=Settings!$B$15,"Yes","No"))</f>
        <v/>
      </c>
      <c r="O81" s="37">
        <f>IFERROR(IF($D81="","",SUMIF('Pre-Test Entry'!$C$3:$AQ$3,Settings!$A$28,'Pre-Test Entry'!$C81:$AQ81)/Settings!$C$28),"")</f>
        <v/>
      </c>
      <c r="P81" s="37">
        <f>IFERROR(IF($D81="","",SUMIF('Pre-Test Entry'!$C$3:$AQ$3,Settings!$A$29,'Pre-Test Entry'!$C81:$AQ81)/Settings!$C$29),"")</f>
        <v/>
      </c>
      <c r="Q81" s="37">
        <f>IFERROR(IF($D81="","",SUMIF('Pre-Test Entry'!$C$3:$AQ$3,Settings!$A$30,'Pre-Test Entry'!$C81:$AQ81)/Settings!$C$30),"")</f>
        <v/>
      </c>
      <c r="R81" s="37">
        <f>IFERROR(IF($D81="","",SUMIF('Pre-Test Entry'!$C$3:$AQ$3,Settings!$A$31,'Pre-Test Entry'!$C81:$AQ81)/Settings!$C$31),"")</f>
        <v/>
      </c>
      <c r="S81" s="37">
        <f>IFERROR(IF($D81="","",SUMIF('Pre-Test Entry'!$C$3:$AQ$3,Settings!$A$32,'Pre-Test Entry'!$C81:$AQ81)/Settings!$C$32),"")</f>
        <v/>
      </c>
      <c r="T81" s="37">
        <f>IFERROR(IF($D81="","",SUMIF('Pre-Test Entry'!$C$3:$AQ$3,Settings!$A$33,'Pre-Test Entry'!$C81:$AQ81)/Settings!$C$33),"")</f>
        <v/>
      </c>
      <c r="U81" s="37">
        <f>IFERROR(IF($D81="","",SUMIF('Pre-Test Entry'!$C$3:$AQ$3,Settings!$A$34,'Pre-Test Entry'!$C81:$AQ81)/Settings!$C$34),"")</f>
        <v/>
      </c>
      <c r="V81" s="37">
        <f>IFERROR(IF($G81="","",SUMIF('Post-Test Entry'!$C$3:$AQ$3,Settings!$A$28,'Post-Test Entry'!$C81:$AQ81)/Settings!$C$28),"")</f>
        <v/>
      </c>
      <c r="W81" s="37">
        <f>IFERROR(IF($G81="","",SUMIF('Post-Test Entry'!$C$3:$AQ$3,Settings!$A$29,'Post-Test Entry'!$C81:$AQ81)/Settings!$C$29),"")</f>
        <v/>
      </c>
      <c r="X81" s="37">
        <f>IFERROR(IF($G81="","",SUMIF('Post-Test Entry'!$C$3:$AQ$3,Settings!$A$30,'Post-Test Entry'!$C81:$AQ81)/Settings!$C$30),"")</f>
        <v/>
      </c>
      <c r="Y81" s="37">
        <f>IFERROR(IF($G81="","",SUMIF('Post-Test Entry'!$C$3:$AQ$3,Settings!$A$31,'Post-Test Entry'!$C81:$AQ81)/Settings!$C$31),"")</f>
        <v/>
      </c>
      <c r="Z81" s="37">
        <f>IFERROR(IF($G81="","",SUMIF('Post-Test Entry'!$C$3:$AQ$3,Settings!$A$32,'Post-Test Entry'!$C81:$AQ81)/Settings!$C$32),"")</f>
        <v/>
      </c>
      <c r="AA81" s="37">
        <f>IFERROR(IF($G81="","",SUMIF('Post-Test Entry'!$C$3:$AQ$3,Settings!$A$33,'Post-Test Entry'!$C81:$AQ81)/Settings!$C$33),"")</f>
        <v/>
      </c>
      <c r="AB81" s="37">
        <f>IFERROR(IF($G81="","",SUMIF('Post-Test Entry'!$C$3:$AQ$3,Settings!$A$34,'Post-Test Entry'!$C81:$AQ81)/Settings!$C$34),"")</f>
        <v/>
      </c>
      <c r="AC81" s="37">
        <f>IF(OR(O81="",V81=""),"",V81-O81)</f>
        <v/>
      </c>
      <c r="AD81" s="37">
        <f>IF(OR(P81="",W81=""),"",W81-P81)</f>
        <v/>
      </c>
      <c r="AE81" s="37">
        <f>IF(OR(Q81="",X81=""),"",X81-Q81)</f>
        <v/>
      </c>
      <c r="AF81" s="37">
        <f>IF(OR(R81="",Y81=""),"",Y81-R81)</f>
        <v/>
      </c>
      <c r="AG81" s="37">
        <f>IF(OR(S81="",Z81=""),"",Z81-S81)</f>
        <v/>
      </c>
      <c r="AH81" s="37">
        <f>IF(OR(T81="",AA81=""),"",AA81-T81)</f>
        <v/>
      </c>
      <c r="AI81" s="37">
        <f>IF(OR(U81="",AB81=""),"",AB81-U81)</f>
        <v/>
      </c>
      <c r="AJ81" s="30">
        <f>IFERROR(IF($G81&lt;&gt;"",INDEX($V$4:$AB$4,MATCH(MIN($V81:$AB81),$V81:$AB81,0)),IF($D81&lt;&gt;"",INDEX($O$4:$U$4,MATCH(MIN($O81:$U81),$O81:$U81,0)),"")),"")</f>
        <v/>
      </c>
      <c r="AK81" s="30">
        <f>IFERROR(IF($G81&lt;&gt;"",INDEX($V$4:$AB$4,MATCH(SMALL($V81:$AB81,2),$V81:$AB81,0)),IF($D81&lt;&gt;"",INDEX($O$4:$U$4,MATCH(SMALL($O81:$U81,2),$O81:$U81,0)),"")),"")</f>
        <v/>
      </c>
      <c r="AL81" s="30">
        <f>IF(OR(G81="",Settings!$B$17=""),"",IF(OR(ABS(G81-Settings!$B$5)&lt;=Settings!$B$17,ABS(G81-Settings!$B$6)&lt;=Settings!$B$17,ABS(G81-Settings!$B$7)&lt;=Settings!$B$17),"NEAR CUT",""))</f>
        <v/>
      </c>
      <c r="AM81" s="31">
        <f>IF('Post-Test Entry'!$AR81&lt;&gt;"","Post essay: code "&amp;'Post-Test Entry'!$AR81,IF('Pre-Test Entry'!$AR81&lt;&gt;"","Pre essay: code "&amp;'Pre-Test Entry'!$AR81,""))</f>
        <v/>
      </c>
      <c r="AN81" s="39">
        <f>IFERROR(IF($AJ81="","",INDEX(Settings!$D$28:$D$34,MATCH($AJ81,Settings!$A$28:$A$34,0))),"")</f>
        <v/>
      </c>
      <c r="AP81">
        <f>IF(D81="","",D81^2)</f>
        <v/>
      </c>
      <c r="AQ81">
        <f>IF(G81="","",G81^2)</f>
        <v/>
      </c>
    </row>
    <row r="82">
      <c r="A82" s="30">
        <f>IF(Roster!$A82="","",Roster!$A82)</f>
        <v/>
      </c>
      <c r="B82" s="31">
        <f>IF(Roster!$B82&lt;&gt;"",Roster!$C82&amp;" "&amp;Roster!$B82,"")</f>
        <v/>
      </c>
      <c r="C82" s="30">
        <f>IF(Roster!$B82&lt;&gt;"",Roster!$D82,"")</f>
        <v/>
      </c>
      <c r="D82" s="16">
        <f>IF(AND(Roster!$B82&lt;&gt;"",COUNT('Pre-Test Entry'!$C82:$AQ82)&gt;0),'Pre-Test Entry'!$AS82,"")</f>
        <v/>
      </c>
      <c r="E82" s="37">
        <f>IFERROR(D82/Settings!$B$8,"")</f>
        <v/>
      </c>
      <c r="F82" s="31">
        <f>IF(D82="","",IF(D82&gt;=Settings!$B$7,"Distinguished Learner",IF(D82&gt;=Settings!$B$6,"Proficient Learner",IF(D82&gt;=Settings!$B$5,"Developing Learner","Beginning Learner"))))</f>
        <v/>
      </c>
      <c r="G82" s="16">
        <f>IF(AND(Roster!$B82&lt;&gt;"",COUNT('Post-Test Entry'!$C82:$AQ82)&gt;0),'Post-Test Entry'!$AS82,"")</f>
        <v/>
      </c>
      <c r="H82" s="37">
        <f>IFERROR(G82/Settings!$B$8,"")</f>
        <v/>
      </c>
      <c r="I82" s="31">
        <f>IF(G82="","",IF(G82&gt;=Settings!$B$7,"Distinguished Learner",IF(G82&gt;=Settings!$B$6,"Proficient Learner",IF(G82&gt;=Settings!$B$5,"Developing Learner","Beginning Learner"))))</f>
        <v/>
      </c>
      <c r="J82" s="16">
        <f>IF(OR(D82="",G82=""),"",G82-D82)</f>
        <v/>
      </c>
      <c r="K82" s="37">
        <f>IFERROR(IF(OR(J82="",J82&lt;=0),"",(G82-D82)/(Settings!$B$8-D82)),"")</f>
        <v/>
      </c>
      <c r="L82" s="38">
        <f>IFERROR(IF(J82="","",(G82-D82)/(Settings!$B$17*SQRT(2))),"")</f>
        <v/>
      </c>
      <c r="M82" s="30">
        <f>IF(L82="","",IF(ABS(L82)&gt;=1.96,"Yes","No"))</f>
        <v/>
      </c>
      <c r="N82" s="30">
        <f>IF(J82="","",IF(J82&gt;=Settings!$B$15,"Yes","No"))</f>
        <v/>
      </c>
      <c r="O82" s="37">
        <f>IFERROR(IF($D82="","",SUMIF('Pre-Test Entry'!$C$3:$AQ$3,Settings!$A$28,'Pre-Test Entry'!$C82:$AQ82)/Settings!$C$28),"")</f>
        <v/>
      </c>
      <c r="P82" s="37">
        <f>IFERROR(IF($D82="","",SUMIF('Pre-Test Entry'!$C$3:$AQ$3,Settings!$A$29,'Pre-Test Entry'!$C82:$AQ82)/Settings!$C$29),"")</f>
        <v/>
      </c>
      <c r="Q82" s="37">
        <f>IFERROR(IF($D82="","",SUMIF('Pre-Test Entry'!$C$3:$AQ$3,Settings!$A$30,'Pre-Test Entry'!$C82:$AQ82)/Settings!$C$30),"")</f>
        <v/>
      </c>
      <c r="R82" s="37">
        <f>IFERROR(IF($D82="","",SUMIF('Pre-Test Entry'!$C$3:$AQ$3,Settings!$A$31,'Pre-Test Entry'!$C82:$AQ82)/Settings!$C$31),"")</f>
        <v/>
      </c>
      <c r="S82" s="37">
        <f>IFERROR(IF($D82="","",SUMIF('Pre-Test Entry'!$C$3:$AQ$3,Settings!$A$32,'Pre-Test Entry'!$C82:$AQ82)/Settings!$C$32),"")</f>
        <v/>
      </c>
      <c r="T82" s="37">
        <f>IFERROR(IF($D82="","",SUMIF('Pre-Test Entry'!$C$3:$AQ$3,Settings!$A$33,'Pre-Test Entry'!$C82:$AQ82)/Settings!$C$33),"")</f>
        <v/>
      </c>
      <c r="U82" s="37">
        <f>IFERROR(IF($D82="","",SUMIF('Pre-Test Entry'!$C$3:$AQ$3,Settings!$A$34,'Pre-Test Entry'!$C82:$AQ82)/Settings!$C$34),"")</f>
        <v/>
      </c>
      <c r="V82" s="37">
        <f>IFERROR(IF($G82="","",SUMIF('Post-Test Entry'!$C$3:$AQ$3,Settings!$A$28,'Post-Test Entry'!$C82:$AQ82)/Settings!$C$28),"")</f>
        <v/>
      </c>
      <c r="W82" s="37">
        <f>IFERROR(IF($G82="","",SUMIF('Post-Test Entry'!$C$3:$AQ$3,Settings!$A$29,'Post-Test Entry'!$C82:$AQ82)/Settings!$C$29),"")</f>
        <v/>
      </c>
      <c r="X82" s="37">
        <f>IFERROR(IF($G82="","",SUMIF('Post-Test Entry'!$C$3:$AQ$3,Settings!$A$30,'Post-Test Entry'!$C82:$AQ82)/Settings!$C$30),"")</f>
        <v/>
      </c>
      <c r="Y82" s="37">
        <f>IFERROR(IF($G82="","",SUMIF('Post-Test Entry'!$C$3:$AQ$3,Settings!$A$31,'Post-Test Entry'!$C82:$AQ82)/Settings!$C$31),"")</f>
        <v/>
      </c>
      <c r="Z82" s="37">
        <f>IFERROR(IF($G82="","",SUMIF('Post-Test Entry'!$C$3:$AQ$3,Settings!$A$32,'Post-Test Entry'!$C82:$AQ82)/Settings!$C$32),"")</f>
        <v/>
      </c>
      <c r="AA82" s="37">
        <f>IFERROR(IF($G82="","",SUMIF('Post-Test Entry'!$C$3:$AQ$3,Settings!$A$33,'Post-Test Entry'!$C82:$AQ82)/Settings!$C$33),"")</f>
        <v/>
      </c>
      <c r="AB82" s="37">
        <f>IFERROR(IF($G82="","",SUMIF('Post-Test Entry'!$C$3:$AQ$3,Settings!$A$34,'Post-Test Entry'!$C82:$AQ82)/Settings!$C$34),"")</f>
        <v/>
      </c>
      <c r="AC82" s="37">
        <f>IF(OR(O82="",V82=""),"",V82-O82)</f>
        <v/>
      </c>
      <c r="AD82" s="37">
        <f>IF(OR(P82="",W82=""),"",W82-P82)</f>
        <v/>
      </c>
      <c r="AE82" s="37">
        <f>IF(OR(Q82="",X82=""),"",X82-Q82)</f>
        <v/>
      </c>
      <c r="AF82" s="37">
        <f>IF(OR(R82="",Y82=""),"",Y82-R82)</f>
        <v/>
      </c>
      <c r="AG82" s="37">
        <f>IF(OR(S82="",Z82=""),"",Z82-S82)</f>
        <v/>
      </c>
      <c r="AH82" s="37">
        <f>IF(OR(T82="",AA82=""),"",AA82-T82)</f>
        <v/>
      </c>
      <c r="AI82" s="37">
        <f>IF(OR(U82="",AB82=""),"",AB82-U82)</f>
        <v/>
      </c>
      <c r="AJ82" s="30">
        <f>IFERROR(IF($G82&lt;&gt;"",INDEX($V$4:$AB$4,MATCH(MIN($V82:$AB82),$V82:$AB82,0)),IF($D82&lt;&gt;"",INDEX($O$4:$U$4,MATCH(MIN($O82:$U82),$O82:$U82,0)),"")),"")</f>
        <v/>
      </c>
      <c r="AK82" s="30">
        <f>IFERROR(IF($G82&lt;&gt;"",INDEX($V$4:$AB$4,MATCH(SMALL($V82:$AB82,2),$V82:$AB82,0)),IF($D82&lt;&gt;"",INDEX($O$4:$U$4,MATCH(SMALL($O82:$U82,2),$O82:$U82,0)),"")),"")</f>
        <v/>
      </c>
      <c r="AL82" s="30">
        <f>IF(OR(G82="",Settings!$B$17=""),"",IF(OR(ABS(G82-Settings!$B$5)&lt;=Settings!$B$17,ABS(G82-Settings!$B$6)&lt;=Settings!$B$17,ABS(G82-Settings!$B$7)&lt;=Settings!$B$17),"NEAR CUT",""))</f>
        <v/>
      </c>
      <c r="AM82" s="31">
        <f>IF('Post-Test Entry'!$AR82&lt;&gt;"","Post essay: code "&amp;'Post-Test Entry'!$AR82,IF('Pre-Test Entry'!$AR82&lt;&gt;"","Pre essay: code "&amp;'Pre-Test Entry'!$AR82,""))</f>
        <v/>
      </c>
      <c r="AN82" s="39">
        <f>IFERROR(IF($AJ82="","",INDEX(Settings!$D$28:$D$34,MATCH($AJ82,Settings!$A$28:$A$34,0))),"")</f>
        <v/>
      </c>
      <c r="AP82">
        <f>IF(D82="","",D82^2)</f>
        <v/>
      </c>
      <c r="AQ82">
        <f>IF(G82="","",G82^2)</f>
        <v/>
      </c>
    </row>
    <row r="83">
      <c r="A83" s="30">
        <f>IF(Roster!$A83="","",Roster!$A83)</f>
        <v/>
      </c>
      <c r="B83" s="31">
        <f>IF(Roster!$B83&lt;&gt;"",Roster!$C83&amp;" "&amp;Roster!$B83,"")</f>
        <v/>
      </c>
      <c r="C83" s="30">
        <f>IF(Roster!$B83&lt;&gt;"",Roster!$D83,"")</f>
        <v/>
      </c>
      <c r="D83" s="16">
        <f>IF(AND(Roster!$B83&lt;&gt;"",COUNT('Pre-Test Entry'!$C83:$AQ83)&gt;0),'Pre-Test Entry'!$AS83,"")</f>
        <v/>
      </c>
      <c r="E83" s="37">
        <f>IFERROR(D83/Settings!$B$8,"")</f>
        <v/>
      </c>
      <c r="F83" s="31">
        <f>IF(D83="","",IF(D83&gt;=Settings!$B$7,"Distinguished Learner",IF(D83&gt;=Settings!$B$6,"Proficient Learner",IF(D83&gt;=Settings!$B$5,"Developing Learner","Beginning Learner"))))</f>
        <v/>
      </c>
      <c r="G83" s="16">
        <f>IF(AND(Roster!$B83&lt;&gt;"",COUNT('Post-Test Entry'!$C83:$AQ83)&gt;0),'Post-Test Entry'!$AS83,"")</f>
        <v/>
      </c>
      <c r="H83" s="37">
        <f>IFERROR(G83/Settings!$B$8,"")</f>
        <v/>
      </c>
      <c r="I83" s="31">
        <f>IF(G83="","",IF(G83&gt;=Settings!$B$7,"Distinguished Learner",IF(G83&gt;=Settings!$B$6,"Proficient Learner",IF(G83&gt;=Settings!$B$5,"Developing Learner","Beginning Learner"))))</f>
        <v/>
      </c>
      <c r="J83" s="16">
        <f>IF(OR(D83="",G83=""),"",G83-D83)</f>
        <v/>
      </c>
      <c r="K83" s="37">
        <f>IFERROR(IF(OR(J83="",J83&lt;=0),"",(G83-D83)/(Settings!$B$8-D83)),"")</f>
        <v/>
      </c>
      <c r="L83" s="38">
        <f>IFERROR(IF(J83="","",(G83-D83)/(Settings!$B$17*SQRT(2))),"")</f>
        <v/>
      </c>
      <c r="M83" s="30">
        <f>IF(L83="","",IF(ABS(L83)&gt;=1.96,"Yes","No"))</f>
        <v/>
      </c>
      <c r="N83" s="30">
        <f>IF(J83="","",IF(J83&gt;=Settings!$B$15,"Yes","No"))</f>
        <v/>
      </c>
      <c r="O83" s="37">
        <f>IFERROR(IF($D83="","",SUMIF('Pre-Test Entry'!$C$3:$AQ$3,Settings!$A$28,'Pre-Test Entry'!$C83:$AQ83)/Settings!$C$28),"")</f>
        <v/>
      </c>
      <c r="P83" s="37">
        <f>IFERROR(IF($D83="","",SUMIF('Pre-Test Entry'!$C$3:$AQ$3,Settings!$A$29,'Pre-Test Entry'!$C83:$AQ83)/Settings!$C$29),"")</f>
        <v/>
      </c>
      <c r="Q83" s="37">
        <f>IFERROR(IF($D83="","",SUMIF('Pre-Test Entry'!$C$3:$AQ$3,Settings!$A$30,'Pre-Test Entry'!$C83:$AQ83)/Settings!$C$30),"")</f>
        <v/>
      </c>
      <c r="R83" s="37">
        <f>IFERROR(IF($D83="","",SUMIF('Pre-Test Entry'!$C$3:$AQ$3,Settings!$A$31,'Pre-Test Entry'!$C83:$AQ83)/Settings!$C$31),"")</f>
        <v/>
      </c>
      <c r="S83" s="37">
        <f>IFERROR(IF($D83="","",SUMIF('Pre-Test Entry'!$C$3:$AQ$3,Settings!$A$32,'Pre-Test Entry'!$C83:$AQ83)/Settings!$C$32),"")</f>
        <v/>
      </c>
      <c r="T83" s="37">
        <f>IFERROR(IF($D83="","",SUMIF('Pre-Test Entry'!$C$3:$AQ$3,Settings!$A$33,'Pre-Test Entry'!$C83:$AQ83)/Settings!$C$33),"")</f>
        <v/>
      </c>
      <c r="U83" s="37">
        <f>IFERROR(IF($D83="","",SUMIF('Pre-Test Entry'!$C$3:$AQ$3,Settings!$A$34,'Pre-Test Entry'!$C83:$AQ83)/Settings!$C$34),"")</f>
        <v/>
      </c>
      <c r="V83" s="37">
        <f>IFERROR(IF($G83="","",SUMIF('Post-Test Entry'!$C$3:$AQ$3,Settings!$A$28,'Post-Test Entry'!$C83:$AQ83)/Settings!$C$28),"")</f>
        <v/>
      </c>
      <c r="W83" s="37">
        <f>IFERROR(IF($G83="","",SUMIF('Post-Test Entry'!$C$3:$AQ$3,Settings!$A$29,'Post-Test Entry'!$C83:$AQ83)/Settings!$C$29),"")</f>
        <v/>
      </c>
      <c r="X83" s="37">
        <f>IFERROR(IF($G83="","",SUMIF('Post-Test Entry'!$C$3:$AQ$3,Settings!$A$30,'Post-Test Entry'!$C83:$AQ83)/Settings!$C$30),"")</f>
        <v/>
      </c>
      <c r="Y83" s="37">
        <f>IFERROR(IF($G83="","",SUMIF('Post-Test Entry'!$C$3:$AQ$3,Settings!$A$31,'Post-Test Entry'!$C83:$AQ83)/Settings!$C$31),"")</f>
        <v/>
      </c>
      <c r="Z83" s="37">
        <f>IFERROR(IF($G83="","",SUMIF('Post-Test Entry'!$C$3:$AQ$3,Settings!$A$32,'Post-Test Entry'!$C83:$AQ83)/Settings!$C$32),"")</f>
        <v/>
      </c>
      <c r="AA83" s="37">
        <f>IFERROR(IF($G83="","",SUMIF('Post-Test Entry'!$C$3:$AQ$3,Settings!$A$33,'Post-Test Entry'!$C83:$AQ83)/Settings!$C$33),"")</f>
        <v/>
      </c>
      <c r="AB83" s="37">
        <f>IFERROR(IF($G83="","",SUMIF('Post-Test Entry'!$C$3:$AQ$3,Settings!$A$34,'Post-Test Entry'!$C83:$AQ83)/Settings!$C$34),"")</f>
        <v/>
      </c>
      <c r="AC83" s="37">
        <f>IF(OR(O83="",V83=""),"",V83-O83)</f>
        <v/>
      </c>
      <c r="AD83" s="37">
        <f>IF(OR(P83="",W83=""),"",W83-P83)</f>
        <v/>
      </c>
      <c r="AE83" s="37">
        <f>IF(OR(Q83="",X83=""),"",X83-Q83)</f>
        <v/>
      </c>
      <c r="AF83" s="37">
        <f>IF(OR(R83="",Y83=""),"",Y83-R83)</f>
        <v/>
      </c>
      <c r="AG83" s="37">
        <f>IF(OR(S83="",Z83=""),"",Z83-S83)</f>
        <v/>
      </c>
      <c r="AH83" s="37">
        <f>IF(OR(T83="",AA83=""),"",AA83-T83)</f>
        <v/>
      </c>
      <c r="AI83" s="37">
        <f>IF(OR(U83="",AB83=""),"",AB83-U83)</f>
        <v/>
      </c>
      <c r="AJ83" s="30">
        <f>IFERROR(IF($G83&lt;&gt;"",INDEX($V$4:$AB$4,MATCH(MIN($V83:$AB83),$V83:$AB83,0)),IF($D83&lt;&gt;"",INDEX($O$4:$U$4,MATCH(MIN($O83:$U83),$O83:$U83,0)),"")),"")</f>
        <v/>
      </c>
      <c r="AK83" s="30">
        <f>IFERROR(IF($G83&lt;&gt;"",INDEX($V$4:$AB$4,MATCH(SMALL($V83:$AB83,2),$V83:$AB83,0)),IF($D83&lt;&gt;"",INDEX($O$4:$U$4,MATCH(SMALL($O83:$U83,2),$O83:$U83,0)),"")),"")</f>
        <v/>
      </c>
      <c r="AL83" s="30">
        <f>IF(OR(G83="",Settings!$B$17=""),"",IF(OR(ABS(G83-Settings!$B$5)&lt;=Settings!$B$17,ABS(G83-Settings!$B$6)&lt;=Settings!$B$17,ABS(G83-Settings!$B$7)&lt;=Settings!$B$17),"NEAR CUT",""))</f>
        <v/>
      </c>
      <c r="AM83" s="31">
        <f>IF('Post-Test Entry'!$AR83&lt;&gt;"","Post essay: code "&amp;'Post-Test Entry'!$AR83,IF('Pre-Test Entry'!$AR83&lt;&gt;"","Pre essay: code "&amp;'Pre-Test Entry'!$AR83,""))</f>
        <v/>
      </c>
      <c r="AN83" s="39">
        <f>IFERROR(IF($AJ83="","",INDEX(Settings!$D$28:$D$34,MATCH($AJ83,Settings!$A$28:$A$34,0))),"")</f>
        <v/>
      </c>
      <c r="AP83">
        <f>IF(D83="","",D83^2)</f>
        <v/>
      </c>
      <c r="AQ83">
        <f>IF(G83="","",G83^2)</f>
        <v/>
      </c>
    </row>
    <row r="84">
      <c r="A84" s="30">
        <f>IF(Roster!$A84="","",Roster!$A84)</f>
        <v/>
      </c>
      <c r="B84" s="31">
        <f>IF(Roster!$B84&lt;&gt;"",Roster!$C84&amp;" "&amp;Roster!$B84,"")</f>
        <v/>
      </c>
      <c r="C84" s="30">
        <f>IF(Roster!$B84&lt;&gt;"",Roster!$D84,"")</f>
        <v/>
      </c>
      <c r="D84" s="16">
        <f>IF(AND(Roster!$B84&lt;&gt;"",COUNT('Pre-Test Entry'!$C84:$AQ84)&gt;0),'Pre-Test Entry'!$AS84,"")</f>
        <v/>
      </c>
      <c r="E84" s="37">
        <f>IFERROR(D84/Settings!$B$8,"")</f>
        <v/>
      </c>
      <c r="F84" s="31">
        <f>IF(D84="","",IF(D84&gt;=Settings!$B$7,"Distinguished Learner",IF(D84&gt;=Settings!$B$6,"Proficient Learner",IF(D84&gt;=Settings!$B$5,"Developing Learner","Beginning Learner"))))</f>
        <v/>
      </c>
      <c r="G84" s="16">
        <f>IF(AND(Roster!$B84&lt;&gt;"",COUNT('Post-Test Entry'!$C84:$AQ84)&gt;0),'Post-Test Entry'!$AS84,"")</f>
        <v/>
      </c>
      <c r="H84" s="37">
        <f>IFERROR(G84/Settings!$B$8,"")</f>
        <v/>
      </c>
      <c r="I84" s="31">
        <f>IF(G84="","",IF(G84&gt;=Settings!$B$7,"Distinguished Learner",IF(G84&gt;=Settings!$B$6,"Proficient Learner",IF(G84&gt;=Settings!$B$5,"Developing Learner","Beginning Learner"))))</f>
        <v/>
      </c>
      <c r="J84" s="16">
        <f>IF(OR(D84="",G84=""),"",G84-D84)</f>
        <v/>
      </c>
      <c r="K84" s="37">
        <f>IFERROR(IF(OR(J84="",J84&lt;=0),"",(G84-D84)/(Settings!$B$8-D84)),"")</f>
        <v/>
      </c>
      <c r="L84" s="38">
        <f>IFERROR(IF(J84="","",(G84-D84)/(Settings!$B$17*SQRT(2))),"")</f>
        <v/>
      </c>
      <c r="M84" s="30">
        <f>IF(L84="","",IF(ABS(L84)&gt;=1.96,"Yes","No"))</f>
        <v/>
      </c>
      <c r="N84" s="30">
        <f>IF(J84="","",IF(J84&gt;=Settings!$B$15,"Yes","No"))</f>
        <v/>
      </c>
      <c r="O84" s="37">
        <f>IFERROR(IF($D84="","",SUMIF('Pre-Test Entry'!$C$3:$AQ$3,Settings!$A$28,'Pre-Test Entry'!$C84:$AQ84)/Settings!$C$28),"")</f>
        <v/>
      </c>
      <c r="P84" s="37">
        <f>IFERROR(IF($D84="","",SUMIF('Pre-Test Entry'!$C$3:$AQ$3,Settings!$A$29,'Pre-Test Entry'!$C84:$AQ84)/Settings!$C$29),"")</f>
        <v/>
      </c>
      <c r="Q84" s="37">
        <f>IFERROR(IF($D84="","",SUMIF('Pre-Test Entry'!$C$3:$AQ$3,Settings!$A$30,'Pre-Test Entry'!$C84:$AQ84)/Settings!$C$30),"")</f>
        <v/>
      </c>
      <c r="R84" s="37">
        <f>IFERROR(IF($D84="","",SUMIF('Pre-Test Entry'!$C$3:$AQ$3,Settings!$A$31,'Pre-Test Entry'!$C84:$AQ84)/Settings!$C$31),"")</f>
        <v/>
      </c>
      <c r="S84" s="37">
        <f>IFERROR(IF($D84="","",SUMIF('Pre-Test Entry'!$C$3:$AQ$3,Settings!$A$32,'Pre-Test Entry'!$C84:$AQ84)/Settings!$C$32),"")</f>
        <v/>
      </c>
      <c r="T84" s="37">
        <f>IFERROR(IF($D84="","",SUMIF('Pre-Test Entry'!$C$3:$AQ$3,Settings!$A$33,'Pre-Test Entry'!$C84:$AQ84)/Settings!$C$33),"")</f>
        <v/>
      </c>
      <c r="U84" s="37">
        <f>IFERROR(IF($D84="","",SUMIF('Pre-Test Entry'!$C$3:$AQ$3,Settings!$A$34,'Pre-Test Entry'!$C84:$AQ84)/Settings!$C$34),"")</f>
        <v/>
      </c>
      <c r="V84" s="37">
        <f>IFERROR(IF($G84="","",SUMIF('Post-Test Entry'!$C$3:$AQ$3,Settings!$A$28,'Post-Test Entry'!$C84:$AQ84)/Settings!$C$28),"")</f>
        <v/>
      </c>
      <c r="W84" s="37">
        <f>IFERROR(IF($G84="","",SUMIF('Post-Test Entry'!$C$3:$AQ$3,Settings!$A$29,'Post-Test Entry'!$C84:$AQ84)/Settings!$C$29),"")</f>
        <v/>
      </c>
      <c r="X84" s="37">
        <f>IFERROR(IF($G84="","",SUMIF('Post-Test Entry'!$C$3:$AQ$3,Settings!$A$30,'Post-Test Entry'!$C84:$AQ84)/Settings!$C$30),"")</f>
        <v/>
      </c>
      <c r="Y84" s="37">
        <f>IFERROR(IF($G84="","",SUMIF('Post-Test Entry'!$C$3:$AQ$3,Settings!$A$31,'Post-Test Entry'!$C84:$AQ84)/Settings!$C$31),"")</f>
        <v/>
      </c>
      <c r="Z84" s="37">
        <f>IFERROR(IF($G84="","",SUMIF('Post-Test Entry'!$C$3:$AQ$3,Settings!$A$32,'Post-Test Entry'!$C84:$AQ84)/Settings!$C$32),"")</f>
        <v/>
      </c>
      <c r="AA84" s="37">
        <f>IFERROR(IF($G84="","",SUMIF('Post-Test Entry'!$C$3:$AQ$3,Settings!$A$33,'Post-Test Entry'!$C84:$AQ84)/Settings!$C$33),"")</f>
        <v/>
      </c>
      <c r="AB84" s="37">
        <f>IFERROR(IF($G84="","",SUMIF('Post-Test Entry'!$C$3:$AQ$3,Settings!$A$34,'Post-Test Entry'!$C84:$AQ84)/Settings!$C$34),"")</f>
        <v/>
      </c>
      <c r="AC84" s="37">
        <f>IF(OR(O84="",V84=""),"",V84-O84)</f>
        <v/>
      </c>
      <c r="AD84" s="37">
        <f>IF(OR(P84="",W84=""),"",W84-P84)</f>
        <v/>
      </c>
      <c r="AE84" s="37">
        <f>IF(OR(Q84="",X84=""),"",X84-Q84)</f>
        <v/>
      </c>
      <c r="AF84" s="37">
        <f>IF(OR(R84="",Y84=""),"",Y84-R84)</f>
        <v/>
      </c>
      <c r="AG84" s="37">
        <f>IF(OR(S84="",Z84=""),"",Z84-S84)</f>
        <v/>
      </c>
      <c r="AH84" s="37">
        <f>IF(OR(T84="",AA84=""),"",AA84-T84)</f>
        <v/>
      </c>
      <c r="AI84" s="37">
        <f>IF(OR(U84="",AB84=""),"",AB84-U84)</f>
        <v/>
      </c>
      <c r="AJ84" s="30">
        <f>IFERROR(IF($G84&lt;&gt;"",INDEX($V$4:$AB$4,MATCH(MIN($V84:$AB84),$V84:$AB84,0)),IF($D84&lt;&gt;"",INDEX($O$4:$U$4,MATCH(MIN($O84:$U84),$O84:$U84,0)),"")),"")</f>
        <v/>
      </c>
      <c r="AK84" s="30">
        <f>IFERROR(IF($G84&lt;&gt;"",INDEX($V$4:$AB$4,MATCH(SMALL($V84:$AB84,2),$V84:$AB84,0)),IF($D84&lt;&gt;"",INDEX($O$4:$U$4,MATCH(SMALL($O84:$U84,2),$O84:$U84,0)),"")),"")</f>
        <v/>
      </c>
      <c r="AL84" s="30">
        <f>IF(OR(G84="",Settings!$B$17=""),"",IF(OR(ABS(G84-Settings!$B$5)&lt;=Settings!$B$17,ABS(G84-Settings!$B$6)&lt;=Settings!$B$17,ABS(G84-Settings!$B$7)&lt;=Settings!$B$17),"NEAR CUT",""))</f>
        <v/>
      </c>
      <c r="AM84" s="31">
        <f>IF('Post-Test Entry'!$AR84&lt;&gt;"","Post essay: code "&amp;'Post-Test Entry'!$AR84,IF('Pre-Test Entry'!$AR84&lt;&gt;"","Pre essay: code "&amp;'Pre-Test Entry'!$AR84,""))</f>
        <v/>
      </c>
      <c r="AN84" s="39">
        <f>IFERROR(IF($AJ84="","",INDEX(Settings!$D$28:$D$34,MATCH($AJ84,Settings!$A$28:$A$34,0))),"")</f>
        <v/>
      </c>
      <c r="AP84">
        <f>IF(D84="","",D84^2)</f>
        <v/>
      </c>
      <c r="AQ84">
        <f>IF(G84="","",G84^2)</f>
        <v/>
      </c>
    </row>
    <row r="85">
      <c r="A85" s="30">
        <f>IF(Roster!$A85="","",Roster!$A85)</f>
        <v/>
      </c>
      <c r="B85" s="31">
        <f>IF(Roster!$B85&lt;&gt;"",Roster!$C85&amp;" "&amp;Roster!$B85,"")</f>
        <v/>
      </c>
      <c r="C85" s="30">
        <f>IF(Roster!$B85&lt;&gt;"",Roster!$D85,"")</f>
        <v/>
      </c>
      <c r="D85" s="16">
        <f>IF(AND(Roster!$B85&lt;&gt;"",COUNT('Pre-Test Entry'!$C85:$AQ85)&gt;0),'Pre-Test Entry'!$AS85,"")</f>
        <v/>
      </c>
      <c r="E85" s="37">
        <f>IFERROR(D85/Settings!$B$8,"")</f>
        <v/>
      </c>
      <c r="F85" s="31">
        <f>IF(D85="","",IF(D85&gt;=Settings!$B$7,"Distinguished Learner",IF(D85&gt;=Settings!$B$6,"Proficient Learner",IF(D85&gt;=Settings!$B$5,"Developing Learner","Beginning Learner"))))</f>
        <v/>
      </c>
      <c r="G85" s="16">
        <f>IF(AND(Roster!$B85&lt;&gt;"",COUNT('Post-Test Entry'!$C85:$AQ85)&gt;0),'Post-Test Entry'!$AS85,"")</f>
        <v/>
      </c>
      <c r="H85" s="37">
        <f>IFERROR(G85/Settings!$B$8,"")</f>
        <v/>
      </c>
      <c r="I85" s="31">
        <f>IF(G85="","",IF(G85&gt;=Settings!$B$7,"Distinguished Learner",IF(G85&gt;=Settings!$B$6,"Proficient Learner",IF(G85&gt;=Settings!$B$5,"Developing Learner","Beginning Learner"))))</f>
        <v/>
      </c>
      <c r="J85" s="16">
        <f>IF(OR(D85="",G85=""),"",G85-D85)</f>
        <v/>
      </c>
      <c r="K85" s="37">
        <f>IFERROR(IF(OR(J85="",J85&lt;=0),"",(G85-D85)/(Settings!$B$8-D85)),"")</f>
        <v/>
      </c>
      <c r="L85" s="38">
        <f>IFERROR(IF(J85="","",(G85-D85)/(Settings!$B$17*SQRT(2))),"")</f>
        <v/>
      </c>
      <c r="M85" s="30">
        <f>IF(L85="","",IF(ABS(L85)&gt;=1.96,"Yes","No"))</f>
        <v/>
      </c>
      <c r="N85" s="30">
        <f>IF(J85="","",IF(J85&gt;=Settings!$B$15,"Yes","No"))</f>
        <v/>
      </c>
      <c r="O85" s="37">
        <f>IFERROR(IF($D85="","",SUMIF('Pre-Test Entry'!$C$3:$AQ$3,Settings!$A$28,'Pre-Test Entry'!$C85:$AQ85)/Settings!$C$28),"")</f>
        <v/>
      </c>
      <c r="P85" s="37">
        <f>IFERROR(IF($D85="","",SUMIF('Pre-Test Entry'!$C$3:$AQ$3,Settings!$A$29,'Pre-Test Entry'!$C85:$AQ85)/Settings!$C$29),"")</f>
        <v/>
      </c>
      <c r="Q85" s="37">
        <f>IFERROR(IF($D85="","",SUMIF('Pre-Test Entry'!$C$3:$AQ$3,Settings!$A$30,'Pre-Test Entry'!$C85:$AQ85)/Settings!$C$30),"")</f>
        <v/>
      </c>
      <c r="R85" s="37">
        <f>IFERROR(IF($D85="","",SUMIF('Pre-Test Entry'!$C$3:$AQ$3,Settings!$A$31,'Pre-Test Entry'!$C85:$AQ85)/Settings!$C$31),"")</f>
        <v/>
      </c>
      <c r="S85" s="37">
        <f>IFERROR(IF($D85="","",SUMIF('Pre-Test Entry'!$C$3:$AQ$3,Settings!$A$32,'Pre-Test Entry'!$C85:$AQ85)/Settings!$C$32),"")</f>
        <v/>
      </c>
      <c r="T85" s="37">
        <f>IFERROR(IF($D85="","",SUMIF('Pre-Test Entry'!$C$3:$AQ$3,Settings!$A$33,'Pre-Test Entry'!$C85:$AQ85)/Settings!$C$33),"")</f>
        <v/>
      </c>
      <c r="U85" s="37">
        <f>IFERROR(IF($D85="","",SUMIF('Pre-Test Entry'!$C$3:$AQ$3,Settings!$A$34,'Pre-Test Entry'!$C85:$AQ85)/Settings!$C$34),"")</f>
        <v/>
      </c>
      <c r="V85" s="37">
        <f>IFERROR(IF($G85="","",SUMIF('Post-Test Entry'!$C$3:$AQ$3,Settings!$A$28,'Post-Test Entry'!$C85:$AQ85)/Settings!$C$28),"")</f>
        <v/>
      </c>
      <c r="W85" s="37">
        <f>IFERROR(IF($G85="","",SUMIF('Post-Test Entry'!$C$3:$AQ$3,Settings!$A$29,'Post-Test Entry'!$C85:$AQ85)/Settings!$C$29),"")</f>
        <v/>
      </c>
      <c r="X85" s="37">
        <f>IFERROR(IF($G85="","",SUMIF('Post-Test Entry'!$C$3:$AQ$3,Settings!$A$30,'Post-Test Entry'!$C85:$AQ85)/Settings!$C$30),"")</f>
        <v/>
      </c>
      <c r="Y85" s="37">
        <f>IFERROR(IF($G85="","",SUMIF('Post-Test Entry'!$C$3:$AQ$3,Settings!$A$31,'Post-Test Entry'!$C85:$AQ85)/Settings!$C$31),"")</f>
        <v/>
      </c>
      <c r="Z85" s="37">
        <f>IFERROR(IF($G85="","",SUMIF('Post-Test Entry'!$C$3:$AQ$3,Settings!$A$32,'Post-Test Entry'!$C85:$AQ85)/Settings!$C$32),"")</f>
        <v/>
      </c>
      <c r="AA85" s="37">
        <f>IFERROR(IF($G85="","",SUMIF('Post-Test Entry'!$C$3:$AQ$3,Settings!$A$33,'Post-Test Entry'!$C85:$AQ85)/Settings!$C$33),"")</f>
        <v/>
      </c>
      <c r="AB85" s="37">
        <f>IFERROR(IF($G85="","",SUMIF('Post-Test Entry'!$C$3:$AQ$3,Settings!$A$34,'Post-Test Entry'!$C85:$AQ85)/Settings!$C$34),"")</f>
        <v/>
      </c>
      <c r="AC85" s="37">
        <f>IF(OR(O85="",V85=""),"",V85-O85)</f>
        <v/>
      </c>
      <c r="AD85" s="37">
        <f>IF(OR(P85="",W85=""),"",W85-P85)</f>
        <v/>
      </c>
      <c r="AE85" s="37">
        <f>IF(OR(Q85="",X85=""),"",X85-Q85)</f>
        <v/>
      </c>
      <c r="AF85" s="37">
        <f>IF(OR(R85="",Y85=""),"",Y85-R85)</f>
        <v/>
      </c>
      <c r="AG85" s="37">
        <f>IF(OR(S85="",Z85=""),"",Z85-S85)</f>
        <v/>
      </c>
      <c r="AH85" s="37">
        <f>IF(OR(T85="",AA85=""),"",AA85-T85)</f>
        <v/>
      </c>
      <c r="AI85" s="37">
        <f>IF(OR(U85="",AB85=""),"",AB85-U85)</f>
        <v/>
      </c>
      <c r="AJ85" s="30">
        <f>IFERROR(IF($G85&lt;&gt;"",INDEX($V$4:$AB$4,MATCH(MIN($V85:$AB85),$V85:$AB85,0)),IF($D85&lt;&gt;"",INDEX($O$4:$U$4,MATCH(MIN($O85:$U85),$O85:$U85,0)),"")),"")</f>
        <v/>
      </c>
      <c r="AK85" s="30">
        <f>IFERROR(IF($G85&lt;&gt;"",INDEX($V$4:$AB$4,MATCH(SMALL($V85:$AB85,2),$V85:$AB85,0)),IF($D85&lt;&gt;"",INDEX($O$4:$U$4,MATCH(SMALL($O85:$U85,2),$O85:$U85,0)),"")),"")</f>
        <v/>
      </c>
      <c r="AL85" s="30">
        <f>IF(OR(G85="",Settings!$B$17=""),"",IF(OR(ABS(G85-Settings!$B$5)&lt;=Settings!$B$17,ABS(G85-Settings!$B$6)&lt;=Settings!$B$17,ABS(G85-Settings!$B$7)&lt;=Settings!$B$17),"NEAR CUT",""))</f>
        <v/>
      </c>
      <c r="AM85" s="31">
        <f>IF('Post-Test Entry'!$AR85&lt;&gt;"","Post essay: code "&amp;'Post-Test Entry'!$AR85,IF('Pre-Test Entry'!$AR85&lt;&gt;"","Pre essay: code "&amp;'Pre-Test Entry'!$AR85,""))</f>
        <v/>
      </c>
      <c r="AN85" s="39">
        <f>IFERROR(IF($AJ85="","",INDEX(Settings!$D$28:$D$34,MATCH($AJ85,Settings!$A$28:$A$34,0))),"")</f>
        <v/>
      </c>
      <c r="AP85">
        <f>IF(D85="","",D85^2)</f>
        <v/>
      </c>
      <c r="AQ85">
        <f>IF(G85="","",G85^2)</f>
        <v/>
      </c>
    </row>
    <row r="86">
      <c r="A86" s="30">
        <f>IF(Roster!$A86="","",Roster!$A86)</f>
        <v/>
      </c>
      <c r="B86" s="31">
        <f>IF(Roster!$B86&lt;&gt;"",Roster!$C86&amp;" "&amp;Roster!$B86,"")</f>
        <v/>
      </c>
      <c r="C86" s="30">
        <f>IF(Roster!$B86&lt;&gt;"",Roster!$D86,"")</f>
        <v/>
      </c>
      <c r="D86" s="16">
        <f>IF(AND(Roster!$B86&lt;&gt;"",COUNT('Pre-Test Entry'!$C86:$AQ86)&gt;0),'Pre-Test Entry'!$AS86,"")</f>
        <v/>
      </c>
      <c r="E86" s="37">
        <f>IFERROR(D86/Settings!$B$8,"")</f>
        <v/>
      </c>
      <c r="F86" s="31">
        <f>IF(D86="","",IF(D86&gt;=Settings!$B$7,"Distinguished Learner",IF(D86&gt;=Settings!$B$6,"Proficient Learner",IF(D86&gt;=Settings!$B$5,"Developing Learner","Beginning Learner"))))</f>
        <v/>
      </c>
      <c r="G86" s="16">
        <f>IF(AND(Roster!$B86&lt;&gt;"",COUNT('Post-Test Entry'!$C86:$AQ86)&gt;0),'Post-Test Entry'!$AS86,"")</f>
        <v/>
      </c>
      <c r="H86" s="37">
        <f>IFERROR(G86/Settings!$B$8,"")</f>
        <v/>
      </c>
      <c r="I86" s="31">
        <f>IF(G86="","",IF(G86&gt;=Settings!$B$7,"Distinguished Learner",IF(G86&gt;=Settings!$B$6,"Proficient Learner",IF(G86&gt;=Settings!$B$5,"Developing Learner","Beginning Learner"))))</f>
        <v/>
      </c>
      <c r="J86" s="16">
        <f>IF(OR(D86="",G86=""),"",G86-D86)</f>
        <v/>
      </c>
      <c r="K86" s="37">
        <f>IFERROR(IF(OR(J86="",J86&lt;=0),"",(G86-D86)/(Settings!$B$8-D86)),"")</f>
        <v/>
      </c>
      <c r="L86" s="38">
        <f>IFERROR(IF(J86="","",(G86-D86)/(Settings!$B$17*SQRT(2))),"")</f>
        <v/>
      </c>
      <c r="M86" s="30">
        <f>IF(L86="","",IF(ABS(L86)&gt;=1.96,"Yes","No"))</f>
        <v/>
      </c>
      <c r="N86" s="30">
        <f>IF(J86="","",IF(J86&gt;=Settings!$B$15,"Yes","No"))</f>
        <v/>
      </c>
      <c r="O86" s="37">
        <f>IFERROR(IF($D86="","",SUMIF('Pre-Test Entry'!$C$3:$AQ$3,Settings!$A$28,'Pre-Test Entry'!$C86:$AQ86)/Settings!$C$28),"")</f>
        <v/>
      </c>
      <c r="P86" s="37">
        <f>IFERROR(IF($D86="","",SUMIF('Pre-Test Entry'!$C$3:$AQ$3,Settings!$A$29,'Pre-Test Entry'!$C86:$AQ86)/Settings!$C$29),"")</f>
        <v/>
      </c>
      <c r="Q86" s="37">
        <f>IFERROR(IF($D86="","",SUMIF('Pre-Test Entry'!$C$3:$AQ$3,Settings!$A$30,'Pre-Test Entry'!$C86:$AQ86)/Settings!$C$30),"")</f>
        <v/>
      </c>
      <c r="R86" s="37">
        <f>IFERROR(IF($D86="","",SUMIF('Pre-Test Entry'!$C$3:$AQ$3,Settings!$A$31,'Pre-Test Entry'!$C86:$AQ86)/Settings!$C$31),"")</f>
        <v/>
      </c>
      <c r="S86" s="37">
        <f>IFERROR(IF($D86="","",SUMIF('Pre-Test Entry'!$C$3:$AQ$3,Settings!$A$32,'Pre-Test Entry'!$C86:$AQ86)/Settings!$C$32),"")</f>
        <v/>
      </c>
      <c r="T86" s="37">
        <f>IFERROR(IF($D86="","",SUMIF('Pre-Test Entry'!$C$3:$AQ$3,Settings!$A$33,'Pre-Test Entry'!$C86:$AQ86)/Settings!$C$33),"")</f>
        <v/>
      </c>
      <c r="U86" s="37">
        <f>IFERROR(IF($D86="","",SUMIF('Pre-Test Entry'!$C$3:$AQ$3,Settings!$A$34,'Pre-Test Entry'!$C86:$AQ86)/Settings!$C$34),"")</f>
        <v/>
      </c>
      <c r="V86" s="37">
        <f>IFERROR(IF($G86="","",SUMIF('Post-Test Entry'!$C$3:$AQ$3,Settings!$A$28,'Post-Test Entry'!$C86:$AQ86)/Settings!$C$28),"")</f>
        <v/>
      </c>
      <c r="W86" s="37">
        <f>IFERROR(IF($G86="","",SUMIF('Post-Test Entry'!$C$3:$AQ$3,Settings!$A$29,'Post-Test Entry'!$C86:$AQ86)/Settings!$C$29),"")</f>
        <v/>
      </c>
      <c r="X86" s="37">
        <f>IFERROR(IF($G86="","",SUMIF('Post-Test Entry'!$C$3:$AQ$3,Settings!$A$30,'Post-Test Entry'!$C86:$AQ86)/Settings!$C$30),"")</f>
        <v/>
      </c>
      <c r="Y86" s="37">
        <f>IFERROR(IF($G86="","",SUMIF('Post-Test Entry'!$C$3:$AQ$3,Settings!$A$31,'Post-Test Entry'!$C86:$AQ86)/Settings!$C$31),"")</f>
        <v/>
      </c>
      <c r="Z86" s="37">
        <f>IFERROR(IF($G86="","",SUMIF('Post-Test Entry'!$C$3:$AQ$3,Settings!$A$32,'Post-Test Entry'!$C86:$AQ86)/Settings!$C$32),"")</f>
        <v/>
      </c>
      <c r="AA86" s="37">
        <f>IFERROR(IF($G86="","",SUMIF('Post-Test Entry'!$C$3:$AQ$3,Settings!$A$33,'Post-Test Entry'!$C86:$AQ86)/Settings!$C$33),"")</f>
        <v/>
      </c>
      <c r="AB86" s="37">
        <f>IFERROR(IF($G86="","",SUMIF('Post-Test Entry'!$C$3:$AQ$3,Settings!$A$34,'Post-Test Entry'!$C86:$AQ86)/Settings!$C$34),"")</f>
        <v/>
      </c>
      <c r="AC86" s="37">
        <f>IF(OR(O86="",V86=""),"",V86-O86)</f>
        <v/>
      </c>
      <c r="AD86" s="37">
        <f>IF(OR(P86="",W86=""),"",W86-P86)</f>
        <v/>
      </c>
      <c r="AE86" s="37">
        <f>IF(OR(Q86="",X86=""),"",X86-Q86)</f>
        <v/>
      </c>
      <c r="AF86" s="37">
        <f>IF(OR(R86="",Y86=""),"",Y86-R86)</f>
        <v/>
      </c>
      <c r="AG86" s="37">
        <f>IF(OR(S86="",Z86=""),"",Z86-S86)</f>
        <v/>
      </c>
      <c r="AH86" s="37">
        <f>IF(OR(T86="",AA86=""),"",AA86-T86)</f>
        <v/>
      </c>
      <c r="AI86" s="37">
        <f>IF(OR(U86="",AB86=""),"",AB86-U86)</f>
        <v/>
      </c>
      <c r="AJ86" s="30">
        <f>IFERROR(IF($G86&lt;&gt;"",INDEX($V$4:$AB$4,MATCH(MIN($V86:$AB86),$V86:$AB86,0)),IF($D86&lt;&gt;"",INDEX($O$4:$U$4,MATCH(MIN($O86:$U86),$O86:$U86,0)),"")),"")</f>
        <v/>
      </c>
      <c r="AK86" s="30">
        <f>IFERROR(IF($G86&lt;&gt;"",INDEX($V$4:$AB$4,MATCH(SMALL($V86:$AB86,2),$V86:$AB86,0)),IF($D86&lt;&gt;"",INDEX($O$4:$U$4,MATCH(SMALL($O86:$U86,2),$O86:$U86,0)),"")),"")</f>
        <v/>
      </c>
      <c r="AL86" s="30">
        <f>IF(OR(G86="",Settings!$B$17=""),"",IF(OR(ABS(G86-Settings!$B$5)&lt;=Settings!$B$17,ABS(G86-Settings!$B$6)&lt;=Settings!$B$17,ABS(G86-Settings!$B$7)&lt;=Settings!$B$17),"NEAR CUT",""))</f>
        <v/>
      </c>
      <c r="AM86" s="31">
        <f>IF('Post-Test Entry'!$AR86&lt;&gt;"","Post essay: code "&amp;'Post-Test Entry'!$AR86,IF('Pre-Test Entry'!$AR86&lt;&gt;"","Pre essay: code "&amp;'Pre-Test Entry'!$AR86,""))</f>
        <v/>
      </c>
      <c r="AN86" s="39">
        <f>IFERROR(IF($AJ86="","",INDEX(Settings!$D$28:$D$34,MATCH($AJ86,Settings!$A$28:$A$34,0))),"")</f>
        <v/>
      </c>
      <c r="AP86">
        <f>IF(D86="","",D86^2)</f>
        <v/>
      </c>
      <c r="AQ86">
        <f>IF(G86="","",G86^2)</f>
        <v/>
      </c>
    </row>
    <row r="87">
      <c r="A87" s="30">
        <f>IF(Roster!$A87="","",Roster!$A87)</f>
        <v/>
      </c>
      <c r="B87" s="31">
        <f>IF(Roster!$B87&lt;&gt;"",Roster!$C87&amp;" "&amp;Roster!$B87,"")</f>
        <v/>
      </c>
      <c r="C87" s="30">
        <f>IF(Roster!$B87&lt;&gt;"",Roster!$D87,"")</f>
        <v/>
      </c>
      <c r="D87" s="16">
        <f>IF(AND(Roster!$B87&lt;&gt;"",COUNT('Pre-Test Entry'!$C87:$AQ87)&gt;0),'Pre-Test Entry'!$AS87,"")</f>
        <v/>
      </c>
      <c r="E87" s="37">
        <f>IFERROR(D87/Settings!$B$8,"")</f>
        <v/>
      </c>
      <c r="F87" s="31">
        <f>IF(D87="","",IF(D87&gt;=Settings!$B$7,"Distinguished Learner",IF(D87&gt;=Settings!$B$6,"Proficient Learner",IF(D87&gt;=Settings!$B$5,"Developing Learner","Beginning Learner"))))</f>
        <v/>
      </c>
      <c r="G87" s="16">
        <f>IF(AND(Roster!$B87&lt;&gt;"",COUNT('Post-Test Entry'!$C87:$AQ87)&gt;0),'Post-Test Entry'!$AS87,"")</f>
        <v/>
      </c>
      <c r="H87" s="37">
        <f>IFERROR(G87/Settings!$B$8,"")</f>
        <v/>
      </c>
      <c r="I87" s="31">
        <f>IF(G87="","",IF(G87&gt;=Settings!$B$7,"Distinguished Learner",IF(G87&gt;=Settings!$B$6,"Proficient Learner",IF(G87&gt;=Settings!$B$5,"Developing Learner","Beginning Learner"))))</f>
        <v/>
      </c>
      <c r="J87" s="16">
        <f>IF(OR(D87="",G87=""),"",G87-D87)</f>
        <v/>
      </c>
      <c r="K87" s="37">
        <f>IFERROR(IF(OR(J87="",J87&lt;=0),"",(G87-D87)/(Settings!$B$8-D87)),"")</f>
        <v/>
      </c>
      <c r="L87" s="38">
        <f>IFERROR(IF(J87="","",(G87-D87)/(Settings!$B$17*SQRT(2))),"")</f>
        <v/>
      </c>
      <c r="M87" s="30">
        <f>IF(L87="","",IF(ABS(L87)&gt;=1.96,"Yes","No"))</f>
        <v/>
      </c>
      <c r="N87" s="30">
        <f>IF(J87="","",IF(J87&gt;=Settings!$B$15,"Yes","No"))</f>
        <v/>
      </c>
      <c r="O87" s="37">
        <f>IFERROR(IF($D87="","",SUMIF('Pre-Test Entry'!$C$3:$AQ$3,Settings!$A$28,'Pre-Test Entry'!$C87:$AQ87)/Settings!$C$28),"")</f>
        <v/>
      </c>
      <c r="P87" s="37">
        <f>IFERROR(IF($D87="","",SUMIF('Pre-Test Entry'!$C$3:$AQ$3,Settings!$A$29,'Pre-Test Entry'!$C87:$AQ87)/Settings!$C$29),"")</f>
        <v/>
      </c>
      <c r="Q87" s="37">
        <f>IFERROR(IF($D87="","",SUMIF('Pre-Test Entry'!$C$3:$AQ$3,Settings!$A$30,'Pre-Test Entry'!$C87:$AQ87)/Settings!$C$30),"")</f>
        <v/>
      </c>
      <c r="R87" s="37">
        <f>IFERROR(IF($D87="","",SUMIF('Pre-Test Entry'!$C$3:$AQ$3,Settings!$A$31,'Pre-Test Entry'!$C87:$AQ87)/Settings!$C$31),"")</f>
        <v/>
      </c>
      <c r="S87" s="37">
        <f>IFERROR(IF($D87="","",SUMIF('Pre-Test Entry'!$C$3:$AQ$3,Settings!$A$32,'Pre-Test Entry'!$C87:$AQ87)/Settings!$C$32),"")</f>
        <v/>
      </c>
      <c r="T87" s="37">
        <f>IFERROR(IF($D87="","",SUMIF('Pre-Test Entry'!$C$3:$AQ$3,Settings!$A$33,'Pre-Test Entry'!$C87:$AQ87)/Settings!$C$33),"")</f>
        <v/>
      </c>
      <c r="U87" s="37">
        <f>IFERROR(IF($D87="","",SUMIF('Pre-Test Entry'!$C$3:$AQ$3,Settings!$A$34,'Pre-Test Entry'!$C87:$AQ87)/Settings!$C$34),"")</f>
        <v/>
      </c>
      <c r="V87" s="37">
        <f>IFERROR(IF($G87="","",SUMIF('Post-Test Entry'!$C$3:$AQ$3,Settings!$A$28,'Post-Test Entry'!$C87:$AQ87)/Settings!$C$28),"")</f>
        <v/>
      </c>
      <c r="W87" s="37">
        <f>IFERROR(IF($G87="","",SUMIF('Post-Test Entry'!$C$3:$AQ$3,Settings!$A$29,'Post-Test Entry'!$C87:$AQ87)/Settings!$C$29),"")</f>
        <v/>
      </c>
      <c r="X87" s="37">
        <f>IFERROR(IF($G87="","",SUMIF('Post-Test Entry'!$C$3:$AQ$3,Settings!$A$30,'Post-Test Entry'!$C87:$AQ87)/Settings!$C$30),"")</f>
        <v/>
      </c>
      <c r="Y87" s="37">
        <f>IFERROR(IF($G87="","",SUMIF('Post-Test Entry'!$C$3:$AQ$3,Settings!$A$31,'Post-Test Entry'!$C87:$AQ87)/Settings!$C$31),"")</f>
        <v/>
      </c>
      <c r="Z87" s="37">
        <f>IFERROR(IF($G87="","",SUMIF('Post-Test Entry'!$C$3:$AQ$3,Settings!$A$32,'Post-Test Entry'!$C87:$AQ87)/Settings!$C$32),"")</f>
        <v/>
      </c>
      <c r="AA87" s="37">
        <f>IFERROR(IF($G87="","",SUMIF('Post-Test Entry'!$C$3:$AQ$3,Settings!$A$33,'Post-Test Entry'!$C87:$AQ87)/Settings!$C$33),"")</f>
        <v/>
      </c>
      <c r="AB87" s="37">
        <f>IFERROR(IF($G87="","",SUMIF('Post-Test Entry'!$C$3:$AQ$3,Settings!$A$34,'Post-Test Entry'!$C87:$AQ87)/Settings!$C$34),"")</f>
        <v/>
      </c>
      <c r="AC87" s="37">
        <f>IF(OR(O87="",V87=""),"",V87-O87)</f>
        <v/>
      </c>
      <c r="AD87" s="37">
        <f>IF(OR(P87="",W87=""),"",W87-P87)</f>
        <v/>
      </c>
      <c r="AE87" s="37">
        <f>IF(OR(Q87="",X87=""),"",X87-Q87)</f>
        <v/>
      </c>
      <c r="AF87" s="37">
        <f>IF(OR(R87="",Y87=""),"",Y87-R87)</f>
        <v/>
      </c>
      <c r="AG87" s="37">
        <f>IF(OR(S87="",Z87=""),"",Z87-S87)</f>
        <v/>
      </c>
      <c r="AH87" s="37">
        <f>IF(OR(T87="",AA87=""),"",AA87-T87)</f>
        <v/>
      </c>
      <c r="AI87" s="37">
        <f>IF(OR(U87="",AB87=""),"",AB87-U87)</f>
        <v/>
      </c>
      <c r="AJ87" s="30">
        <f>IFERROR(IF($G87&lt;&gt;"",INDEX($V$4:$AB$4,MATCH(MIN($V87:$AB87),$V87:$AB87,0)),IF($D87&lt;&gt;"",INDEX($O$4:$U$4,MATCH(MIN($O87:$U87),$O87:$U87,0)),"")),"")</f>
        <v/>
      </c>
      <c r="AK87" s="30">
        <f>IFERROR(IF($G87&lt;&gt;"",INDEX($V$4:$AB$4,MATCH(SMALL($V87:$AB87,2),$V87:$AB87,0)),IF($D87&lt;&gt;"",INDEX($O$4:$U$4,MATCH(SMALL($O87:$U87,2),$O87:$U87,0)),"")),"")</f>
        <v/>
      </c>
      <c r="AL87" s="30">
        <f>IF(OR(G87="",Settings!$B$17=""),"",IF(OR(ABS(G87-Settings!$B$5)&lt;=Settings!$B$17,ABS(G87-Settings!$B$6)&lt;=Settings!$B$17,ABS(G87-Settings!$B$7)&lt;=Settings!$B$17),"NEAR CUT",""))</f>
        <v/>
      </c>
      <c r="AM87" s="31">
        <f>IF('Post-Test Entry'!$AR87&lt;&gt;"","Post essay: code "&amp;'Post-Test Entry'!$AR87,IF('Pre-Test Entry'!$AR87&lt;&gt;"","Pre essay: code "&amp;'Pre-Test Entry'!$AR87,""))</f>
        <v/>
      </c>
      <c r="AN87" s="39">
        <f>IFERROR(IF($AJ87="","",INDEX(Settings!$D$28:$D$34,MATCH($AJ87,Settings!$A$28:$A$34,0))),"")</f>
        <v/>
      </c>
      <c r="AP87">
        <f>IF(D87="","",D87^2)</f>
        <v/>
      </c>
      <c r="AQ87">
        <f>IF(G87="","",G87^2)</f>
        <v/>
      </c>
    </row>
    <row r="88">
      <c r="A88" s="30">
        <f>IF(Roster!$A88="","",Roster!$A88)</f>
        <v/>
      </c>
      <c r="B88" s="31">
        <f>IF(Roster!$B88&lt;&gt;"",Roster!$C88&amp;" "&amp;Roster!$B88,"")</f>
        <v/>
      </c>
      <c r="C88" s="30">
        <f>IF(Roster!$B88&lt;&gt;"",Roster!$D88,"")</f>
        <v/>
      </c>
      <c r="D88" s="16">
        <f>IF(AND(Roster!$B88&lt;&gt;"",COUNT('Pre-Test Entry'!$C88:$AQ88)&gt;0),'Pre-Test Entry'!$AS88,"")</f>
        <v/>
      </c>
      <c r="E88" s="37">
        <f>IFERROR(D88/Settings!$B$8,"")</f>
        <v/>
      </c>
      <c r="F88" s="31">
        <f>IF(D88="","",IF(D88&gt;=Settings!$B$7,"Distinguished Learner",IF(D88&gt;=Settings!$B$6,"Proficient Learner",IF(D88&gt;=Settings!$B$5,"Developing Learner","Beginning Learner"))))</f>
        <v/>
      </c>
      <c r="G88" s="16">
        <f>IF(AND(Roster!$B88&lt;&gt;"",COUNT('Post-Test Entry'!$C88:$AQ88)&gt;0),'Post-Test Entry'!$AS88,"")</f>
        <v/>
      </c>
      <c r="H88" s="37">
        <f>IFERROR(G88/Settings!$B$8,"")</f>
        <v/>
      </c>
      <c r="I88" s="31">
        <f>IF(G88="","",IF(G88&gt;=Settings!$B$7,"Distinguished Learner",IF(G88&gt;=Settings!$B$6,"Proficient Learner",IF(G88&gt;=Settings!$B$5,"Developing Learner","Beginning Learner"))))</f>
        <v/>
      </c>
      <c r="J88" s="16">
        <f>IF(OR(D88="",G88=""),"",G88-D88)</f>
        <v/>
      </c>
      <c r="K88" s="37">
        <f>IFERROR(IF(OR(J88="",J88&lt;=0),"",(G88-D88)/(Settings!$B$8-D88)),"")</f>
        <v/>
      </c>
      <c r="L88" s="38">
        <f>IFERROR(IF(J88="","",(G88-D88)/(Settings!$B$17*SQRT(2))),"")</f>
        <v/>
      </c>
      <c r="M88" s="30">
        <f>IF(L88="","",IF(ABS(L88)&gt;=1.96,"Yes","No"))</f>
        <v/>
      </c>
      <c r="N88" s="30">
        <f>IF(J88="","",IF(J88&gt;=Settings!$B$15,"Yes","No"))</f>
        <v/>
      </c>
      <c r="O88" s="37">
        <f>IFERROR(IF($D88="","",SUMIF('Pre-Test Entry'!$C$3:$AQ$3,Settings!$A$28,'Pre-Test Entry'!$C88:$AQ88)/Settings!$C$28),"")</f>
        <v/>
      </c>
      <c r="P88" s="37">
        <f>IFERROR(IF($D88="","",SUMIF('Pre-Test Entry'!$C$3:$AQ$3,Settings!$A$29,'Pre-Test Entry'!$C88:$AQ88)/Settings!$C$29),"")</f>
        <v/>
      </c>
      <c r="Q88" s="37">
        <f>IFERROR(IF($D88="","",SUMIF('Pre-Test Entry'!$C$3:$AQ$3,Settings!$A$30,'Pre-Test Entry'!$C88:$AQ88)/Settings!$C$30),"")</f>
        <v/>
      </c>
      <c r="R88" s="37">
        <f>IFERROR(IF($D88="","",SUMIF('Pre-Test Entry'!$C$3:$AQ$3,Settings!$A$31,'Pre-Test Entry'!$C88:$AQ88)/Settings!$C$31),"")</f>
        <v/>
      </c>
      <c r="S88" s="37">
        <f>IFERROR(IF($D88="","",SUMIF('Pre-Test Entry'!$C$3:$AQ$3,Settings!$A$32,'Pre-Test Entry'!$C88:$AQ88)/Settings!$C$32),"")</f>
        <v/>
      </c>
      <c r="T88" s="37">
        <f>IFERROR(IF($D88="","",SUMIF('Pre-Test Entry'!$C$3:$AQ$3,Settings!$A$33,'Pre-Test Entry'!$C88:$AQ88)/Settings!$C$33),"")</f>
        <v/>
      </c>
      <c r="U88" s="37">
        <f>IFERROR(IF($D88="","",SUMIF('Pre-Test Entry'!$C$3:$AQ$3,Settings!$A$34,'Pre-Test Entry'!$C88:$AQ88)/Settings!$C$34),"")</f>
        <v/>
      </c>
      <c r="V88" s="37">
        <f>IFERROR(IF($G88="","",SUMIF('Post-Test Entry'!$C$3:$AQ$3,Settings!$A$28,'Post-Test Entry'!$C88:$AQ88)/Settings!$C$28),"")</f>
        <v/>
      </c>
      <c r="W88" s="37">
        <f>IFERROR(IF($G88="","",SUMIF('Post-Test Entry'!$C$3:$AQ$3,Settings!$A$29,'Post-Test Entry'!$C88:$AQ88)/Settings!$C$29),"")</f>
        <v/>
      </c>
      <c r="X88" s="37">
        <f>IFERROR(IF($G88="","",SUMIF('Post-Test Entry'!$C$3:$AQ$3,Settings!$A$30,'Post-Test Entry'!$C88:$AQ88)/Settings!$C$30),"")</f>
        <v/>
      </c>
      <c r="Y88" s="37">
        <f>IFERROR(IF($G88="","",SUMIF('Post-Test Entry'!$C$3:$AQ$3,Settings!$A$31,'Post-Test Entry'!$C88:$AQ88)/Settings!$C$31),"")</f>
        <v/>
      </c>
      <c r="Z88" s="37">
        <f>IFERROR(IF($G88="","",SUMIF('Post-Test Entry'!$C$3:$AQ$3,Settings!$A$32,'Post-Test Entry'!$C88:$AQ88)/Settings!$C$32),"")</f>
        <v/>
      </c>
      <c r="AA88" s="37">
        <f>IFERROR(IF($G88="","",SUMIF('Post-Test Entry'!$C$3:$AQ$3,Settings!$A$33,'Post-Test Entry'!$C88:$AQ88)/Settings!$C$33),"")</f>
        <v/>
      </c>
      <c r="AB88" s="37">
        <f>IFERROR(IF($G88="","",SUMIF('Post-Test Entry'!$C$3:$AQ$3,Settings!$A$34,'Post-Test Entry'!$C88:$AQ88)/Settings!$C$34),"")</f>
        <v/>
      </c>
      <c r="AC88" s="37">
        <f>IF(OR(O88="",V88=""),"",V88-O88)</f>
        <v/>
      </c>
      <c r="AD88" s="37">
        <f>IF(OR(P88="",W88=""),"",W88-P88)</f>
        <v/>
      </c>
      <c r="AE88" s="37">
        <f>IF(OR(Q88="",X88=""),"",X88-Q88)</f>
        <v/>
      </c>
      <c r="AF88" s="37">
        <f>IF(OR(R88="",Y88=""),"",Y88-R88)</f>
        <v/>
      </c>
      <c r="AG88" s="37">
        <f>IF(OR(S88="",Z88=""),"",Z88-S88)</f>
        <v/>
      </c>
      <c r="AH88" s="37">
        <f>IF(OR(T88="",AA88=""),"",AA88-T88)</f>
        <v/>
      </c>
      <c r="AI88" s="37">
        <f>IF(OR(U88="",AB88=""),"",AB88-U88)</f>
        <v/>
      </c>
      <c r="AJ88" s="30">
        <f>IFERROR(IF($G88&lt;&gt;"",INDEX($V$4:$AB$4,MATCH(MIN($V88:$AB88),$V88:$AB88,0)),IF($D88&lt;&gt;"",INDEX($O$4:$U$4,MATCH(MIN($O88:$U88),$O88:$U88,0)),"")),"")</f>
        <v/>
      </c>
      <c r="AK88" s="30">
        <f>IFERROR(IF($G88&lt;&gt;"",INDEX($V$4:$AB$4,MATCH(SMALL($V88:$AB88,2),$V88:$AB88,0)),IF($D88&lt;&gt;"",INDEX($O$4:$U$4,MATCH(SMALL($O88:$U88,2),$O88:$U88,0)),"")),"")</f>
        <v/>
      </c>
      <c r="AL88" s="30">
        <f>IF(OR(G88="",Settings!$B$17=""),"",IF(OR(ABS(G88-Settings!$B$5)&lt;=Settings!$B$17,ABS(G88-Settings!$B$6)&lt;=Settings!$B$17,ABS(G88-Settings!$B$7)&lt;=Settings!$B$17),"NEAR CUT",""))</f>
        <v/>
      </c>
      <c r="AM88" s="31">
        <f>IF('Post-Test Entry'!$AR88&lt;&gt;"","Post essay: code "&amp;'Post-Test Entry'!$AR88,IF('Pre-Test Entry'!$AR88&lt;&gt;"","Pre essay: code "&amp;'Pre-Test Entry'!$AR88,""))</f>
        <v/>
      </c>
      <c r="AN88" s="39">
        <f>IFERROR(IF($AJ88="","",INDEX(Settings!$D$28:$D$34,MATCH($AJ88,Settings!$A$28:$A$34,0))),"")</f>
        <v/>
      </c>
      <c r="AP88">
        <f>IF(D88="","",D88^2)</f>
        <v/>
      </c>
      <c r="AQ88">
        <f>IF(G88="","",G88^2)</f>
        <v/>
      </c>
    </row>
    <row r="89">
      <c r="A89" s="30">
        <f>IF(Roster!$A89="","",Roster!$A89)</f>
        <v/>
      </c>
      <c r="B89" s="31">
        <f>IF(Roster!$B89&lt;&gt;"",Roster!$C89&amp;" "&amp;Roster!$B89,"")</f>
        <v/>
      </c>
      <c r="C89" s="30">
        <f>IF(Roster!$B89&lt;&gt;"",Roster!$D89,"")</f>
        <v/>
      </c>
      <c r="D89" s="16">
        <f>IF(AND(Roster!$B89&lt;&gt;"",COUNT('Pre-Test Entry'!$C89:$AQ89)&gt;0),'Pre-Test Entry'!$AS89,"")</f>
        <v/>
      </c>
      <c r="E89" s="37">
        <f>IFERROR(D89/Settings!$B$8,"")</f>
        <v/>
      </c>
      <c r="F89" s="31">
        <f>IF(D89="","",IF(D89&gt;=Settings!$B$7,"Distinguished Learner",IF(D89&gt;=Settings!$B$6,"Proficient Learner",IF(D89&gt;=Settings!$B$5,"Developing Learner","Beginning Learner"))))</f>
        <v/>
      </c>
      <c r="G89" s="16">
        <f>IF(AND(Roster!$B89&lt;&gt;"",COUNT('Post-Test Entry'!$C89:$AQ89)&gt;0),'Post-Test Entry'!$AS89,"")</f>
        <v/>
      </c>
      <c r="H89" s="37">
        <f>IFERROR(G89/Settings!$B$8,"")</f>
        <v/>
      </c>
      <c r="I89" s="31">
        <f>IF(G89="","",IF(G89&gt;=Settings!$B$7,"Distinguished Learner",IF(G89&gt;=Settings!$B$6,"Proficient Learner",IF(G89&gt;=Settings!$B$5,"Developing Learner","Beginning Learner"))))</f>
        <v/>
      </c>
      <c r="J89" s="16">
        <f>IF(OR(D89="",G89=""),"",G89-D89)</f>
        <v/>
      </c>
      <c r="K89" s="37">
        <f>IFERROR(IF(OR(J89="",J89&lt;=0),"",(G89-D89)/(Settings!$B$8-D89)),"")</f>
        <v/>
      </c>
      <c r="L89" s="38">
        <f>IFERROR(IF(J89="","",(G89-D89)/(Settings!$B$17*SQRT(2))),"")</f>
        <v/>
      </c>
      <c r="M89" s="30">
        <f>IF(L89="","",IF(ABS(L89)&gt;=1.96,"Yes","No"))</f>
        <v/>
      </c>
      <c r="N89" s="30">
        <f>IF(J89="","",IF(J89&gt;=Settings!$B$15,"Yes","No"))</f>
        <v/>
      </c>
      <c r="O89" s="37">
        <f>IFERROR(IF($D89="","",SUMIF('Pre-Test Entry'!$C$3:$AQ$3,Settings!$A$28,'Pre-Test Entry'!$C89:$AQ89)/Settings!$C$28),"")</f>
        <v/>
      </c>
      <c r="P89" s="37">
        <f>IFERROR(IF($D89="","",SUMIF('Pre-Test Entry'!$C$3:$AQ$3,Settings!$A$29,'Pre-Test Entry'!$C89:$AQ89)/Settings!$C$29),"")</f>
        <v/>
      </c>
      <c r="Q89" s="37">
        <f>IFERROR(IF($D89="","",SUMIF('Pre-Test Entry'!$C$3:$AQ$3,Settings!$A$30,'Pre-Test Entry'!$C89:$AQ89)/Settings!$C$30),"")</f>
        <v/>
      </c>
      <c r="R89" s="37">
        <f>IFERROR(IF($D89="","",SUMIF('Pre-Test Entry'!$C$3:$AQ$3,Settings!$A$31,'Pre-Test Entry'!$C89:$AQ89)/Settings!$C$31),"")</f>
        <v/>
      </c>
      <c r="S89" s="37">
        <f>IFERROR(IF($D89="","",SUMIF('Pre-Test Entry'!$C$3:$AQ$3,Settings!$A$32,'Pre-Test Entry'!$C89:$AQ89)/Settings!$C$32),"")</f>
        <v/>
      </c>
      <c r="T89" s="37">
        <f>IFERROR(IF($D89="","",SUMIF('Pre-Test Entry'!$C$3:$AQ$3,Settings!$A$33,'Pre-Test Entry'!$C89:$AQ89)/Settings!$C$33),"")</f>
        <v/>
      </c>
      <c r="U89" s="37">
        <f>IFERROR(IF($D89="","",SUMIF('Pre-Test Entry'!$C$3:$AQ$3,Settings!$A$34,'Pre-Test Entry'!$C89:$AQ89)/Settings!$C$34),"")</f>
        <v/>
      </c>
      <c r="V89" s="37">
        <f>IFERROR(IF($G89="","",SUMIF('Post-Test Entry'!$C$3:$AQ$3,Settings!$A$28,'Post-Test Entry'!$C89:$AQ89)/Settings!$C$28),"")</f>
        <v/>
      </c>
      <c r="W89" s="37">
        <f>IFERROR(IF($G89="","",SUMIF('Post-Test Entry'!$C$3:$AQ$3,Settings!$A$29,'Post-Test Entry'!$C89:$AQ89)/Settings!$C$29),"")</f>
        <v/>
      </c>
      <c r="X89" s="37">
        <f>IFERROR(IF($G89="","",SUMIF('Post-Test Entry'!$C$3:$AQ$3,Settings!$A$30,'Post-Test Entry'!$C89:$AQ89)/Settings!$C$30),"")</f>
        <v/>
      </c>
      <c r="Y89" s="37">
        <f>IFERROR(IF($G89="","",SUMIF('Post-Test Entry'!$C$3:$AQ$3,Settings!$A$31,'Post-Test Entry'!$C89:$AQ89)/Settings!$C$31),"")</f>
        <v/>
      </c>
      <c r="Z89" s="37">
        <f>IFERROR(IF($G89="","",SUMIF('Post-Test Entry'!$C$3:$AQ$3,Settings!$A$32,'Post-Test Entry'!$C89:$AQ89)/Settings!$C$32),"")</f>
        <v/>
      </c>
      <c r="AA89" s="37">
        <f>IFERROR(IF($G89="","",SUMIF('Post-Test Entry'!$C$3:$AQ$3,Settings!$A$33,'Post-Test Entry'!$C89:$AQ89)/Settings!$C$33),"")</f>
        <v/>
      </c>
      <c r="AB89" s="37">
        <f>IFERROR(IF($G89="","",SUMIF('Post-Test Entry'!$C$3:$AQ$3,Settings!$A$34,'Post-Test Entry'!$C89:$AQ89)/Settings!$C$34),"")</f>
        <v/>
      </c>
      <c r="AC89" s="37">
        <f>IF(OR(O89="",V89=""),"",V89-O89)</f>
        <v/>
      </c>
      <c r="AD89" s="37">
        <f>IF(OR(P89="",W89=""),"",W89-P89)</f>
        <v/>
      </c>
      <c r="AE89" s="37">
        <f>IF(OR(Q89="",X89=""),"",X89-Q89)</f>
        <v/>
      </c>
      <c r="AF89" s="37">
        <f>IF(OR(R89="",Y89=""),"",Y89-R89)</f>
        <v/>
      </c>
      <c r="AG89" s="37">
        <f>IF(OR(S89="",Z89=""),"",Z89-S89)</f>
        <v/>
      </c>
      <c r="AH89" s="37">
        <f>IF(OR(T89="",AA89=""),"",AA89-T89)</f>
        <v/>
      </c>
      <c r="AI89" s="37">
        <f>IF(OR(U89="",AB89=""),"",AB89-U89)</f>
        <v/>
      </c>
      <c r="AJ89" s="30">
        <f>IFERROR(IF($G89&lt;&gt;"",INDEX($V$4:$AB$4,MATCH(MIN($V89:$AB89),$V89:$AB89,0)),IF($D89&lt;&gt;"",INDEX($O$4:$U$4,MATCH(MIN($O89:$U89),$O89:$U89,0)),"")),"")</f>
        <v/>
      </c>
      <c r="AK89" s="30">
        <f>IFERROR(IF($G89&lt;&gt;"",INDEX($V$4:$AB$4,MATCH(SMALL($V89:$AB89,2),$V89:$AB89,0)),IF($D89&lt;&gt;"",INDEX($O$4:$U$4,MATCH(SMALL($O89:$U89,2),$O89:$U89,0)),"")),"")</f>
        <v/>
      </c>
      <c r="AL89" s="30">
        <f>IF(OR(G89="",Settings!$B$17=""),"",IF(OR(ABS(G89-Settings!$B$5)&lt;=Settings!$B$17,ABS(G89-Settings!$B$6)&lt;=Settings!$B$17,ABS(G89-Settings!$B$7)&lt;=Settings!$B$17),"NEAR CUT",""))</f>
        <v/>
      </c>
      <c r="AM89" s="31">
        <f>IF('Post-Test Entry'!$AR89&lt;&gt;"","Post essay: code "&amp;'Post-Test Entry'!$AR89,IF('Pre-Test Entry'!$AR89&lt;&gt;"","Pre essay: code "&amp;'Pre-Test Entry'!$AR89,""))</f>
        <v/>
      </c>
      <c r="AN89" s="39">
        <f>IFERROR(IF($AJ89="","",INDEX(Settings!$D$28:$D$34,MATCH($AJ89,Settings!$A$28:$A$34,0))),"")</f>
        <v/>
      </c>
      <c r="AP89">
        <f>IF(D89="","",D89^2)</f>
        <v/>
      </c>
      <c r="AQ89">
        <f>IF(G89="","",G89^2)</f>
        <v/>
      </c>
    </row>
    <row r="90">
      <c r="A90" s="30">
        <f>IF(Roster!$A90="","",Roster!$A90)</f>
        <v/>
      </c>
      <c r="B90" s="31">
        <f>IF(Roster!$B90&lt;&gt;"",Roster!$C90&amp;" "&amp;Roster!$B90,"")</f>
        <v/>
      </c>
      <c r="C90" s="30">
        <f>IF(Roster!$B90&lt;&gt;"",Roster!$D90,"")</f>
        <v/>
      </c>
      <c r="D90" s="16">
        <f>IF(AND(Roster!$B90&lt;&gt;"",COUNT('Pre-Test Entry'!$C90:$AQ90)&gt;0),'Pre-Test Entry'!$AS90,"")</f>
        <v/>
      </c>
      <c r="E90" s="37">
        <f>IFERROR(D90/Settings!$B$8,"")</f>
        <v/>
      </c>
      <c r="F90" s="31">
        <f>IF(D90="","",IF(D90&gt;=Settings!$B$7,"Distinguished Learner",IF(D90&gt;=Settings!$B$6,"Proficient Learner",IF(D90&gt;=Settings!$B$5,"Developing Learner","Beginning Learner"))))</f>
        <v/>
      </c>
      <c r="G90" s="16">
        <f>IF(AND(Roster!$B90&lt;&gt;"",COUNT('Post-Test Entry'!$C90:$AQ90)&gt;0),'Post-Test Entry'!$AS90,"")</f>
        <v/>
      </c>
      <c r="H90" s="37">
        <f>IFERROR(G90/Settings!$B$8,"")</f>
        <v/>
      </c>
      <c r="I90" s="31">
        <f>IF(G90="","",IF(G90&gt;=Settings!$B$7,"Distinguished Learner",IF(G90&gt;=Settings!$B$6,"Proficient Learner",IF(G90&gt;=Settings!$B$5,"Developing Learner","Beginning Learner"))))</f>
        <v/>
      </c>
      <c r="J90" s="16">
        <f>IF(OR(D90="",G90=""),"",G90-D90)</f>
        <v/>
      </c>
      <c r="K90" s="37">
        <f>IFERROR(IF(OR(J90="",J90&lt;=0),"",(G90-D90)/(Settings!$B$8-D90)),"")</f>
        <v/>
      </c>
      <c r="L90" s="38">
        <f>IFERROR(IF(J90="","",(G90-D90)/(Settings!$B$17*SQRT(2))),"")</f>
        <v/>
      </c>
      <c r="M90" s="30">
        <f>IF(L90="","",IF(ABS(L90)&gt;=1.96,"Yes","No"))</f>
        <v/>
      </c>
      <c r="N90" s="30">
        <f>IF(J90="","",IF(J90&gt;=Settings!$B$15,"Yes","No"))</f>
        <v/>
      </c>
      <c r="O90" s="37">
        <f>IFERROR(IF($D90="","",SUMIF('Pre-Test Entry'!$C$3:$AQ$3,Settings!$A$28,'Pre-Test Entry'!$C90:$AQ90)/Settings!$C$28),"")</f>
        <v/>
      </c>
      <c r="P90" s="37">
        <f>IFERROR(IF($D90="","",SUMIF('Pre-Test Entry'!$C$3:$AQ$3,Settings!$A$29,'Pre-Test Entry'!$C90:$AQ90)/Settings!$C$29),"")</f>
        <v/>
      </c>
      <c r="Q90" s="37">
        <f>IFERROR(IF($D90="","",SUMIF('Pre-Test Entry'!$C$3:$AQ$3,Settings!$A$30,'Pre-Test Entry'!$C90:$AQ90)/Settings!$C$30),"")</f>
        <v/>
      </c>
      <c r="R90" s="37">
        <f>IFERROR(IF($D90="","",SUMIF('Pre-Test Entry'!$C$3:$AQ$3,Settings!$A$31,'Pre-Test Entry'!$C90:$AQ90)/Settings!$C$31),"")</f>
        <v/>
      </c>
      <c r="S90" s="37">
        <f>IFERROR(IF($D90="","",SUMIF('Pre-Test Entry'!$C$3:$AQ$3,Settings!$A$32,'Pre-Test Entry'!$C90:$AQ90)/Settings!$C$32),"")</f>
        <v/>
      </c>
      <c r="T90" s="37">
        <f>IFERROR(IF($D90="","",SUMIF('Pre-Test Entry'!$C$3:$AQ$3,Settings!$A$33,'Pre-Test Entry'!$C90:$AQ90)/Settings!$C$33),"")</f>
        <v/>
      </c>
      <c r="U90" s="37">
        <f>IFERROR(IF($D90="","",SUMIF('Pre-Test Entry'!$C$3:$AQ$3,Settings!$A$34,'Pre-Test Entry'!$C90:$AQ90)/Settings!$C$34),"")</f>
        <v/>
      </c>
      <c r="V90" s="37">
        <f>IFERROR(IF($G90="","",SUMIF('Post-Test Entry'!$C$3:$AQ$3,Settings!$A$28,'Post-Test Entry'!$C90:$AQ90)/Settings!$C$28),"")</f>
        <v/>
      </c>
      <c r="W90" s="37">
        <f>IFERROR(IF($G90="","",SUMIF('Post-Test Entry'!$C$3:$AQ$3,Settings!$A$29,'Post-Test Entry'!$C90:$AQ90)/Settings!$C$29),"")</f>
        <v/>
      </c>
      <c r="X90" s="37">
        <f>IFERROR(IF($G90="","",SUMIF('Post-Test Entry'!$C$3:$AQ$3,Settings!$A$30,'Post-Test Entry'!$C90:$AQ90)/Settings!$C$30),"")</f>
        <v/>
      </c>
      <c r="Y90" s="37">
        <f>IFERROR(IF($G90="","",SUMIF('Post-Test Entry'!$C$3:$AQ$3,Settings!$A$31,'Post-Test Entry'!$C90:$AQ90)/Settings!$C$31),"")</f>
        <v/>
      </c>
      <c r="Z90" s="37">
        <f>IFERROR(IF($G90="","",SUMIF('Post-Test Entry'!$C$3:$AQ$3,Settings!$A$32,'Post-Test Entry'!$C90:$AQ90)/Settings!$C$32),"")</f>
        <v/>
      </c>
      <c r="AA90" s="37">
        <f>IFERROR(IF($G90="","",SUMIF('Post-Test Entry'!$C$3:$AQ$3,Settings!$A$33,'Post-Test Entry'!$C90:$AQ90)/Settings!$C$33),"")</f>
        <v/>
      </c>
      <c r="AB90" s="37">
        <f>IFERROR(IF($G90="","",SUMIF('Post-Test Entry'!$C$3:$AQ$3,Settings!$A$34,'Post-Test Entry'!$C90:$AQ90)/Settings!$C$34),"")</f>
        <v/>
      </c>
      <c r="AC90" s="37">
        <f>IF(OR(O90="",V90=""),"",V90-O90)</f>
        <v/>
      </c>
      <c r="AD90" s="37">
        <f>IF(OR(P90="",W90=""),"",W90-P90)</f>
        <v/>
      </c>
      <c r="AE90" s="37">
        <f>IF(OR(Q90="",X90=""),"",X90-Q90)</f>
        <v/>
      </c>
      <c r="AF90" s="37">
        <f>IF(OR(R90="",Y90=""),"",Y90-R90)</f>
        <v/>
      </c>
      <c r="AG90" s="37">
        <f>IF(OR(S90="",Z90=""),"",Z90-S90)</f>
        <v/>
      </c>
      <c r="AH90" s="37">
        <f>IF(OR(T90="",AA90=""),"",AA90-T90)</f>
        <v/>
      </c>
      <c r="AI90" s="37">
        <f>IF(OR(U90="",AB90=""),"",AB90-U90)</f>
        <v/>
      </c>
      <c r="AJ90" s="30">
        <f>IFERROR(IF($G90&lt;&gt;"",INDEX($V$4:$AB$4,MATCH(MIN($V90:$AB90),$V90:$AB90,0)),IF($D90&lt;&gt;"",INDEX($O$4:$U$4,MATCH(MIN($O90:$U90),$O90:$U90,0)),"")),"")</f>
        <v/>
      </c>
      <c r="AK90" s="30">
        <f>IFERROR(IF($G90&lt;&gt;"",INDEX($V$4:$AB$4,MATCH(SMALL($V90:$AB90,2),$V90:$AB90,0)),IF($D90&lt;&gt;"",INDEX($O$4:$U$4,MATCH(SMALL($O90:$U90,2),$O90:$U90,0)),"")),"")</f>
        <v/>
      </c>
      <c r="AL90" s="30">
        <f>IF(OR(G90="",Settings!$B$17=""),"",IF(OR(ABS(G90-Settings!$B$5)&lt;=Settings!$B$17,ABS(G90-Settings!$B$6)&lt;=Settings!$B$17,ABS(G90-Settings!$B$7)&lt;=Settings!$B$17),"NEAR CUT",""))</f>
        <v/>
      </c>
      <c r="AM90" s="31">
        <f>IF('Post-Test Entry'!$AR90&lt;&gt;"","Post essay: code "&amp;'Post-Test Entry'!$AR90,IF('Pre-Test Entry'!$AR90&lt;&gt;"","Pre essay: code "&amp;'Pre-Test Entry'!$AR90,""))</f>
        <v/>
      </c>
      <c r="AN90" s="39">
        <f>IFERROR(IF($AJ90="","",INDEX(Settings!$D$28:$D$34,MATCH($AJ90,Settings!$A$28:$A$34,0))),"")</f>
        <v/>
      </c>
      <c r="AP90">
        <f>IF(D90="","",D90^2)</f>
        <v/>
      </c>
      <c r="AQ90">
        <f>IF(G90="","",G90^2)</f>
        <v/>
      </c>
    </row>
    <row r="91">
      <c r="A91" s="30">
        <f>IF(Roster!$A91="","",Roster!$A91)</f>
        <v/>
      </c>
      <c r="B91" s="31">
        <f>IF(Roster!$B91&lt;&gt;"",Roster!$C91&amp;" "&amp;Roster!$B91,"")</f>
        <v/>
      </c>
      <c r="C91" s="30">
        <f>IF(Roster!$B91&lt;&gt;"",Roster!$D91,"")</f>
        <v/>
      </c>
      <c r="D91" s="16">
        <f>IF(AND(Roster!$B91&lt;&gt;"",COUNT('Pre-Test Entry'!$C91:$AQ91)&gt;0),'Pre-Test Entry'!$AS91,"")</f>
        <v/>
      </c>
      <c r="E91" s="37">
        <f>IFERROR(D91/Settings!$B$8,"")</f>
        <v/>
      </c>
      <c r="F91" s="31">
        <f>IF(D91="","",IF(D91&gt;=Settings!$B$7,"Distinguished Learner",IF(D91&gt;=Settings!$B$6,"Proficient Learner",IF(D91&gt;=Settings!$B$5,"Developing Learner","Beginning Learner"))))</f>
        <v/>
      </c>
      <c r="G91" s="16">
        <f>IF(AND(Roster!$B91&lt;&gt;"",COUNT('Post-Test Entry'!$C91:$AQ91)&gt;0),'Post-Test Entry'!$AS91,"")</f>
        <v/>
      </c>
      <c r="H91" s="37">
        <f>IFERROR(G91/Settings!$B$8,"")</f>
        <v/>
      </c>
      <c r="I91" s="31">
        <f>IF(G91="","",IF(G91&gt;=Settings!$B$7,"Distinguished Learner",IF(G91&gt;=Settings!$B$6,"Proficient Learner",IF(G91&gt;=Settings!$B$5,"Developing Learner","Beginning Learner"))))</f>
        <v/>
      </c>
      <c r="J91" s="16">
        <f>IF(OR(D91="",G91=""),"",G91-D91)</f>
        <v/>
      </c>
      <c r="K91" s="37">
        <f>IFERROR(IF(OR(J91="",J91&lt;=0),"",(G91-D91)/(Settings!$B$8-D91)),"")</f>
        <v/>
      </c>
      <c r="L91" s="38">
        <f>IFERROR(IF(J91="","",(G91-D91)/(Settings!$B$17*SQRT(2))),"")</f>
        <v/>
      </c>
      <c r="M91" s="30">
        <f>IF(L91="","",IF(ABS(L91)&gt;=1.96,"Yes","No"))</f>
        <v/>
      </c>
      <c r="N91" s="30">
        <f>IF(J91="","",IF(J91&gt;=Settings!$B$15,"Yes","No"))</f>
        <v/>
      </c>
      <c r="O91" s="37">
        <f>IFERROR(IF($D91="","",SUMIF('Pre-Test Entry'!$C$3:$AQ$3,Settings!$A$28,'Pre-Test Entry'!$C91:$AQ91)/Settings!$C$28),"")</f>
        <v/>
      </c>
      <c r="P91" s="37">
        <f>IFERROR(IF($D91="","",SUMIF('Pre-Test Entry'!$C$3:$AQ$3,Settings!$A$29,'Pre-Test Entry'!$C91:$AQ91)/Settings!$C$29),"")</f>
        <v/>
      </c>
      <c r="Q91" s="37">
        <f>IFERROR(IF($D91="","",SUMIF('Pre-Test Entry'!$C$3:$AQ$3,Settings!$A$30,'Pre-Test Entry'!$C91:$AQ91)/Settings!$C$30),"")</f>
        <v/>
      </c>
      <c r="R91" s="37">
        <f>IFERROR(IF($D91="","",SUMIF('Pre-Test Entry'!$C$3:$AQ$3,Settings!$A$31,'Pre-Test Entry'!$C91:$AQ91)/Settings!$C$31),"")</f>
        <v/>
      </c>
      <c r="S91" s="37">
        <f>IFERROR(IF($D91="","",SUMIF('Pre-Test Entry'!$C$3:$AQ$3,Settings!$A$32,'Pre-Test Entry'!$C91:$AQ91)/Settings!$C$32),"")</f>
        <v/>
      </c>
      <c r="T91" s="37">
        <f>IFERROR(IF($D91="","",SUMIF('Pre-Test Entry'!$C$3:$AQ$3,Settings!$A$33,'Pre-Test Entry'!$C91:$AQ91)/Settings!$C$33),"")</f>
        <v/>
      </c>
      <c r="U91" s="37">
        <f>IFERROR(IF($D91="","",SUMIF('Pre-Test Entry'!$C$3:$AQ$3,Settings!$A$34,'Pre-Test Entry'!$C91:$AQ91)/Settings!$C$34),"")</f>
        <v/>
      </c>
      <c r="V91" s="37">
        <f>IFERROR(IF($G91="","",SUMIF('Post-Test Entry'!$C$3:$AQ$3,Settings!$A$28,'Post-Test Entry'!$C91:$AQ91)/Settings!$C$28),"")</f>
        <v/>
      </c>
      <c r="W91" s="37">
        <f>IFERROR(IF($G91="","",SUMIF('Post-Test Entry'!$C$3:$AQ$3,Settings!$A$29,'Post-Test Entry'!$C91:$AQ91)/Settings!$C$29),"")</f>
        <v/>
      </c>
      <c r="X91" s="37">
        <f>IFERROR(IF($G91="","",SUMIF('Post-Test Entry'!$C$3:$AQ$3,Settings!$A$30,'Post-Test Entry'!$C91:$AQ91)/Settings!$C$30),"")</f>
        <v/>
      </c>
      <c r="Y91" s="37">
        <f>IFERROR(IF($G91="","",SUMIF('Post-Test Entry'!$C$3:$AQ$3,Settings!$A$31,'Post-Test Entry'!$C91:$AQ91)/Settings!$C$31),"")</f>
        <v/>
      </c>
      <c r="Z91" s="37">
        <f>IFERROR(IF($G91="","",SUMIF('Post-Test Entry'!$C$3:$AQ$3,Settings!$A$32,'Post-Test Entry'!$C91:$AQ91)/Settings!$C$32),"")</f>
        <v/>
      </c>
      <c r="AA91" s="37">
        <f>IFERROR(IF($G91="","",SUMIF('Post-Test Entry'!$C$3:$AQ$3,Settings!$A$33,'Post-Test Entry'!$C91:$AQ91)/Settings!$C$33),"")</f>
        <v/>
      </c>
      <c r="AB91" s="37">
        <f>IFERROR(IF($G91="","",SUMIF('Post-Test Entry'!$C$3:$AQ$3,Settings!$A$34,'Post-Test Entry'!$C91:$AQ91)/Settings!$C$34),"")</f>
        <v/>
      </c>
      <c r="AC91" s="37">
        <f>IF(OR(O91="",V91=""),"",V91-O91)</f>
        <v/>
      </c>
      <c r="AD91" s="37">
        <f>IF(OR(P91="",W91=""),"",W91-P91)</f>
        <v/>
      </c>
      <c r="AE91" s="37">
        <f>IF(OR(Q91="",X91=""),"",X91-Q91)</f>
        <v/>
      </c>
      <c r="AF91" s="37">
        <f>IF(OR(R91="",Y91=""),"",Y91-R91)</f>
        <v/>
      </c>
      <c r="AG91" s="37">
        <f>IF(OR(S91="",Z91=""),"",Z91-S91)</f>
        <v/>
      </c>
      <c r="AH91" s="37">
        <f>IF(OR(T91="",AA91=""),"",AA91-T91)</f>
        <v/>
      </c>
      <c r="AI91" s="37">
        <f>IF(OR(U91="",AB91=""),"",AB91-U91)</f>
        <v/>
      </c>
      <c r="AJ91" s="30">
        <f>IFERROR(IF($G91&lt;&gt;"",INDEX($V$4:$AB$4,MATCH(MIN($V91:$AB91),$V91:$AB91,0)),IF($D91&lt;&gt;"",INDEX($O$4:$U$4,MATCH(MIN($O91:$U91),$O91:$U91,0)),"")),"")</f>
        <v/>
      </c>
      <c r="AK91" s="30">
        <f>IFERROR(IF($G91&lt;&gt;"",INDEX($V$4:$AB$4,MATCH(SMALL($V91:$AB91,2),$V91:$AB91,0)),IF($D91&lt;&gt;"",INDEX($O$4:$U$4,MATCH(SMALL($O91:$U91,2),$O91:$U91,0)),"")),"")</f>
        <v/>
      </c>
      <c r="AL91" s="30">
        <f>IF(OR(G91="",Settings!$B$17=""),"",IF(OR(ABS(G91-Settings!$B$5)&lt;=Settings!$B$17,ABS(G91-Settings!$B$6)&lt;=Settings!$B$17,ABS(G91-Settings!$B$7)&lt;=Settings!$B$17),"NEAR CUT",""))</f>
        <v/>
      </c>
      <c r="AM91" s="31">
        <f>IF('Post-Test Entry'!$AR91&lt;&gt;"","Post essay: code "&amp;'Post-Test Entry'!$AR91,IF('Pre-Test Entry'!$AR91&lt;&gt;"","Pre essay: code "&amp;'Pre-Test Entry'!$AR91,""))</f>
        <v/>
      </c>
      <c r="AN91" s="39">
        <f>IFERROR(IF($AJ91="","",INDEX(Settings!$D$28:$D$34,MATCH($AJ91,Settings!$A$28:$A$34,0))),"")</f>
        <v/>
      </c>
      <c r="AP91">
        <f>IF(D91="","",D91^2)</f>
        <v/>
      </c>
      <c r="AQ91">
        <f>IF(G91="","",G91^2)</f>
        <v/>
      </c>
    </row>
    <row r="92">
      <c r="A92" s="30">
        <f>IF(Roster!$A92="","",Roster!$A92)</f>
        <v/>
      </c>
      <c r="B92" s="31">
        <f>IF(Roster!$B92&lt;&gt;"",Roster!$C92&amp;" "&amp;Roster!$B92,"")</f>
        <v/>
      </c>
      <c r="C92" s="30">
        <f>IF(Roster!$B92&lt;&gt;"",Roster!$D92,"")</f>
        <v/>
      </c>
      <c r="D92" s="16">
        <f>IF(AND(Roster!$B92&lt;&gt;"",COUNT('Pre-Test Entry'!$C92:$AQ92)&gt;0),'Pre-Test Entry'!$AS92,"")</f>
        <v/>
      </c>
      <c r="E92" s="37">
        <f>IFERROR(D92/Settings!$B$8,"")</f>
        <v/>
      </c>
      <c r="F92" s="31">
        <f>IF(D92="","",IF(D92&gt;=Settings!$B$7,"Distinguished Learner",IF(D92&gt;=Settings!$B$6,"Proficient Learner",IF(D92&gt;=Settings!$B$5,"Developing Learner","Beginning Learner"))))</f>
        <v/>
      </c>
      <c r="G92" s="16">
        <f>IF(AND(Roster!$B92&lt;&gt;"",COUNT('Post-Test Entry'!$C92:$AQ92)&gt;0),'Post-Test Entry'!$AS92,"")</f>
        <v/>
      </c>
      <c r="H92" s="37">
        <f>IFERROR(G92/Settings!$B$8,"")</f>
        <v/>
      </c>
      <c r="I92" s="31">
        <f>IF(G92="","",IF(G92&gt;=Settings!$B$7,"Distinguished Learner",IF(G92&gt;=Settings!$B$6,"Proficient Learner",IF(G92&gt;=Settings!$B$5,"Developing Learner","Beginning Learner"))))</f>
        <v/>
      </c>
      <c r="J92" s="16">
        <f>IF(OR(D92="",G92=""),"",G92-D92)</f>
        <v/>
      </c>
      <c r="K92" s="37">
        <f>IFERROR(IF(OR(J92="",J92&lt;=0),"",(G92-D92)/(Settings!$B$8-D92)),"")</f>
        <v/>
      </c>
      <c r="L92" s="38">
        <f>IFERROR(IF(J92="","",(G92-D92)/(Settings!$B$17*SQRT(2))),"")</f>
        <v/>
      </c>
      <c r="M92" s="30">
        <f>IF(L92="","",IF(ABS(L92)&gt;=1.96,"Yes","No"))</f>
        <v/>
      </c>
      <c r="N92" s="30">
        <f>IF(J92="","",IF(J92&gt;=Settings!$B$15,"Yes","No"))</f>
        <v/>
      </c>
      <c r="O92" s="37">
        <f>IFERROR(IF($D92="","",SUMIF('Pre-Test Entry'!$C$3:$AQ$3,Settings!$A$28,'Pre-Test Entry'!$C92:$AQ92)/Settings!$C$28),"")</f>
        <v/>
      </c>
      <c r="P92" s="37">
        <f>IFERROR(IF($D92="","",SUMIF('Pre-Test Entry'!$C$3:$AQ$3,Settings!$A$29,'Pre-Test Entry'!$C92:$AQ92)/Settings!$C$29),"")</f>
        <v/>
      </c>
      <c r="Q92" s="37">
        <f>IFERROR(IF($D92="","",SUMIF('Pre-Test Entry'!$C$3:$AQ$3,Settings!$A$30,'Pre-Test Entry'!$C92:$AQ92)/Settings!$C$30),"")</f>
        <v/>
      </c>
      <c r="R92" s="37">
        <f>IFERROR(IF($D92="","",SUMIF('Pre-Test Entry'!$C$3:$AQ$3,Settings!$A$31,'Pre-Test Entry'!$C92:$AQ92)/Settings!$C$31),"")</f>
        <v/>
      </c>
      <c r="S92" s="37">
        <f>IFERROR(IF($D92="","",SUMIF('Pre-Test Entry'!$C$3:$AQ$3,Settings!$A$32,'Pre-Test Entry'!$C92:$AQ92)/Settings!$C$32),"")</f>
        <v/>
      </c>
      <c r="T92" s="37">
        <f>IFERROR(IF($D92="","",SUMIF('Pre-Test Entry'!$C$3:$AQ$3,Settings!$A$33,'Pre-Test Entry'!$C92:$AQ92)/Settings!$C$33),"")</f>
        <v/>
      </c>
      <c r="U92" s="37">
        <f>IFERROR(IF($D92="","",SUMIF('Pre-Test Entry'!$C$3:$AQ$3,Settings!$A$34,'Pre-Test Entry'!$C92:$AQ92)/Settings!$C$34),"")</f>
        <v/>
      </c>
      <c r="V92" s="37">
        <f>IFERROR(IF($G92="","",SUMIF('Post-Test Entry'!$C$3:$AQ$3,Settings!$A$28,'Post-Test Entry'!$C92:$AQ92)/Settings!$C$28),"")</f>
        <v/>
      </c>
      <c r="W92" s="37">
        <f>IFERROR(IF($G92="","",SUMIF('Post-Test Entry'!$C$3:$AQ$3,Settings!$A$29,'Post-Test Entry'!$C92:$AQ92)/Settings!$C$29),"")</f>
        <v/>
      </c>
      <c r="X92" s="37">
        <f>IFERROR(IF($G92="","",SUMIF('Post-Test Entry'!$C$3:$AQ$3,Settings!$A$30,'Post-Test Entry'!$C92:$AQ92)/Settings!$C$30),"")</f>
        <v/>
      </c>
      <c r="Y92" s="37">
        <f>IFERROR(IF($G92="","",SUMIF('Post-Test Entry'!$C$3:$AQ$3,Settings!$A$31,'Post-Test Entry'!$C92:$AQ92)/Settings!$C$31),"")</f>
        <v/>
      </c>
      <c r="Z92" s="37">
        <f>IFERROR(IF($G92="","",SUMIF('Post-Test Entry'!$C$3:$AQ$3,Settings!$A$32,'Post-Test Entry'!$C92:$AQ92)/Settings!$C$32),"")</f>
        <v/>
      </c>
      <c r="AA92" s="37">
        <f>IFERROR(IF($G92="","",SUMIF('Post-Test Entry'!$C$3:$AQ$3,Settings!$A$33,'Post-Test Entry'!$C92:$AQ92)/Settings!$C$33),"")</f>
        <v/>
      </c>
      <c r="AB92" s="37">
        <f>IFERROR(IF($G92="","",SUMIF('Post-Test Entry'!$C$3:$AQ$3,Settings!$A$34,'Post-Test Entry'!$C92:$AQ92)/Settings!$C$34),"")</f>
        <v/>
      </c>
      <c r="AC92" s="37">
        <f>IF(OR(O92="",V92=""),"",V92-O92)</f>
        <v/>
      </c>
      <c r="AD92" s="37">
        <f>IF(OR(P92="",W92=""),"",W92-P92)</f>
        <v/>
      </c>
      <c r="AE92" s="37">
        <f>IF(OR(Q92="",X92=""),"",X92-Q92)</f>
        <v/>
      </c>
      <c r="AF92" s="37">
        <f>IF(OR(R92="",Y92=""),"",Y92-R92)</f>
        <v/>
      </c>
      <c r="AG92" s="37">
        <f>IF(OR(S92="",Z92=""),"",Z92-S92)</f>
        <v/>
      </c>
      <c r="AH92" s="37">
        <f>IF(OR(T92="",AA92=""),"",AA92-T92)</f>
        <v/>
      </c>
      <c r="AI92" s="37">
        <f>IF(OR(U92="",AB92=""),"",AB92-U92)</f>
        <v/>
      </c>
      <c r="AJ92" s="30">
        <f>IFERROR(IF($G92&lt;&gt;"",INDEX($V$4:$AB$4,MATCH(MIN($V92:$AB92),$V92:$AB92,0)),IF($D92&lt;&gt;"",INDEX($O$4:$U$4,MATCH(MIN($O92:$U92),$O92:$U92,0)),"")),"")</f>
        <v/>
      </c>
      <c r="AK92" s="30">
        <f>IFERROR(IF($G92&lt;&gt;"",INDEX($V$4:$AB$4,MATCH(SMALL($V92:$AB92,2),$V92:$AB92,0)),IF($D92&lt;&gt;"",INDEX($O$4:$U$4,MATCH(SMALL($O92:$U92,2),$O92:$U92,0)),"")),"")</f>
        <v/>
      </c>
      <c r="AL92" s="30">
        <f>IF(OR(G92="",Settings!$B$17=""),"",IF(OR(ABS(G92-Settings!$B$5)&lt;=Settings!$B$17,ABS(G92-Settings!$B$6)&lt;=Settings!$B$17,ABS(G92-Settings!$B$7)&lt;=Settings!$B$17),"NEAR CUT",""))</f>
        <v/>
      </c>
      <c r="AM92" s="31">
        <f>IF('Post-Test Entry'!$AR92&lt;&gt;"","Post essay: code "&amp;'Post-Test Entry'!$AR92,IF('Pre-Test Entry'!$AR92&lt;&gt;"","Pre essay: code "&amp;'Pre-Test Entry'!$AR92,""))</f>
        <v/>
      </c>
      <c r="AN92" s="39">
        <f>IFERROR(IF($AJ92="","",INDEX(Settings!$D$28:$D$34,MATCH($AJ92,Settings!$A$28:$A$34,0))),"")</f>
        <v/>
      </c>
      <c r="AP92">
        <f>IF(D92="","",D92^2)</f>
        <v/>
      </c>
      <c r="AQ92">
        <f>IF(G92="","",G92^2)</f>
        <v/>
      </c>
    </row>
    <row r="93">
      <c r="A93" s="30">
        <f>IF(Roster!$A93="","",Roster!$A93)</f>
        <v/>
      </c>
      <c r="B93" s="31">
        <f>IF(Roster!$B93&lt;&gt;"",Roster!$C93&amp;" "&amp;Roster!$B93,"")</f>
        <v/>
      </c>
      <c r="C93" s="30">
        <f>IF(Roster!$B93&lt;&gt;"",Roster!$D93,"")</f>
        <v/>
      </c>
      <c r="D93" s="16">
        <f>IF(AND(Roster!$B93&lt;&gt;"",COUNT('Pre-Test Entry'!$C93:$AQ93)&gt;0),'Pre-Test Entry'!$AS93,"")</f>
        <v/>
      </c>
      <c r="E93" s="37">
        <f>IFERROR(D93/Settings!$B$8,"")</f>
        <v/>
      </c>
      <c r="F93" s="31">
        <f>IF(D93="","",IF(D93&gt;=Settings!$B$7,"Distinguished Learner",IF(D93&gt;=Settings!$B$6,"Proficient Learner",IF(D93&gt;=Settings!$B$5,"Developing Learner","Beginning Learner"))))</f>
        <v/>
      </c>
      <c r="G93" s="16">
        <f>IF(AND(Roster!$B93&lt;&gt;"",COUNT('Post-Test Entry'!$C93:$AQ93)&gt;0),'Post-Test Entry'!$AS93,"")</f>
        <v/>
      </c>
      <c r="H93" s="37">
        <f>IFERROR(G93/Settings!$B$8,"")</f>
        <v/>
      </c>
      <c r="I93" s="31">
        <f>IF(G93="","",IF(G93&gt;=Settings!$B$7,"Distinguished Learner",IF(G93&gt;=Settings!$B$6,"Proficient Learner",IF(G93&gt;=Settings!$B$5,"Developing Learner","Beginning Learner"))))</f>
        <v/>
      </c>
      <c r="J93" s="16">
        <f>IF(OR(D93="",G93=""),"",G93-D93)</f>
        <v/>
      </c>
      <c r="K93" s="37">
        <f>IFERROR(IF(OR(J93="",J93&lt;=0),"",(G93-D93)/(Settings!$B$8-D93)),"")</f>
        <v/>
      </c>
      <c r="L93" s="38">
        <f>IFERROR(IF(J93="","",(G93-D93)/(Settings!$B$17*SQRT(2))),"")</f>
        <v/>
      </c>
      <c r="M93" s="30">
        <f>IF(L93="","",IF(ABS(L93)&gt;=1.96,"Yes","No"))</f>
        <v/>
      </c>
      <c r="N93" s="30">
        <f>IF(J93="","",IF(J93&gt;=Settings!$B$15,"Yes","No"))</f>
        <v/>
      </c>
      <c r="O93" s="37">
        <f>IFERROR(IF($D93="","",SUMIF('Pre-Test Entry'!$C$3:$AQ$3,Settings!$A$28,'Pre-Test Entry'!$C93:$AQ93)/Settings!$C$28),"")</f>
        <v/>
      </c>
      <c r="P93" s="37">
        <f>IFERROR(IF($D93="","",SUMIF('Pre-Test Entry'!$C$3:$AQ$3,Settings!$A$29,'Pre-Test Entry'!$C93:$AQ93)/Settings!$C$29),"")</f>
        <v/>
      </c>
      <c r="Q93" s="37">
        <f>IFERROR(IF($D93="","",SUMIF('Pre-Test Entry'!$C$3:$AQ$3,Settings!$A$30,'Pre-Test Entry'!$C93:$AQ93)/Settings!$C$30),"")</f>
        <v/>
      </c>
      <c r="R93" s="37">
        <f>IFERROR(IF($D93="","",SUMIF('Pre-Test Entry'!$C$3:$AQ$3,Settings!$A$31,'Pre-Test Entry'!$C93:$AQ93)/Settings!$C$31),"")</f>
        <v/>
      </c>
      <c r="S93" s="37">
        <f>IFERROR(IF($D93="","",SUMIF('Pre-Test Entry'!$C$3:$AQ$3,Settings!$A$32,'Pre-Test Entry'!$C93:$AQ93)/Settings!$C$32),"")</f>
        <v/>
      </c>
      <c r="T93" s="37">
        <f>IFERROR(IF($D93="","",SUMIF('Pre-Test Entry'!$C$3:$AQ$3,Settings!$A$33,'Pre-Test Entry'!$C93:$AQ93)/Settings!$C$33),"")</f>
        <v/>
      </c>
      <c r="U93" s="37">
        <f>IFERROR(IF($D93="","",SUMIF('Pre-Test Entry'!$C$3:$AQ$3,Settings!$A$34,'Pre-Test Entry'!$C93:$AQ93)/Settings!$C$34),"")</f>
        <v/>
      </c>
      <c r="V93" s="37">
        <f>IFERROR(IF($G93="","",SUMIF('Post-Test Entry'!$C$3:$AQ$3,Settings!$A$28,'Post-Test Entry'!$C93:$AQ93)/Settings!$C$28),"")</f>
        <v/>
      </c>
      <c r="W93" s="37">
        <f>IFERROR(IF($G93="","",SUMIF('Post-Test Entry'!$C$3:$AQ$3,Settings!$A$29,'Post-Test Entry'!$C93:$AQ93)/Settings!$C$29),"")</f>
        <v/>
      </c>
      <c r="X93" s="37">
        <f>IFERROR(IF($G93="","",SUMIF('Post-Test Entry'!$C$3:$AQ$3,Settings!$A$30,'Post-Test Entry'!$C93:$AQ93)/Settings!$C$30),"")</f>
        <v/>
      </c>
      <c r="Y93" s="37">
        <f>IFERROR(IF($G93="","",SUMIF('Post-Test Entry'!$C$3:$AQ$3,Settings!$A$31,'Post-Test Entry'!$C93:$AQ93)/Settings!$C$31),"")</f>
        <v/>
      </c>
      <c r="Z93" s="37">
        <f>IFERROR(IF($G93="","",SUMIF('Post-Test Entry'!$C$3:$AQ$3,Settings!$A$32,'Post-Test Entry'!$C93:$AQ93)/Settings!$C$32),"")</f>
        <v/>
      </c>
      <c r="AA93" s="37">
        <f>IFERROR(IF($G93="","",SUMIF('Post-Test Entry'!$C$3:$AQ$3,Settings!$A$33,'Post-Test Entry'!$C93:$AQ93)/Settings!$C$33),"")</f>
        <v/>
      </c>
      <c r="AB93" s="37">
        <f>IFERROR(IF($G93="","",SUMIF('Post-Test Entry'!$C$3:$AQ$3,Settings!$A$34,'Post-Test Entry'!$C93:$AQ93)/Settings!$C$34),"")</f>
        <v/>
      </c>
      <c r="AC93" s="37">
        <f>IF(OR(O93="",V93=""),"",V93-O93)</f>
        <v/>
      </c>
      <c r="AD93" s="37">
        <f>IF(OR(P93="",W93=""),"",W93-P93)</f>
        <v/>
      </c>
      <c r="AE93" s="37">
        <f>IF(OR(Q93="",X93=""),"",X93-Q93)</f>
        <v/>
      </c>
      <c r="AF93" s="37">
        <f>IF(OR(R93="",Y93=""),"",Y93-R93)</f>
        <v/>
      </c>
      <c r="AG93" s="37">
        <f>IF(OR(S93="",Z93=""),"",Z93-S93)</f>
        <v/>
      </c>
      <c r="AH93" s="37">
        <f>IF(OR(T93="",AA93=""),"",AA93-T93)</f>
        <v/>
      </c>
      <c r="AI93" s="37">
        <f>IF(OR(U93="",AB93=""),"",AB93-U93)</f>
        <v/>
      </c>
      <c r="AJ93" s="30">
        <f>IFERROR(IF($G93&lt;&gt;"",INDEX($V$4:$AB$4,MATCH(MIN($V93:$AB93),$V93:$AB93,0)),IF($D93&lt;&gt;"",INDEX($O$4:$U$4,MATCH(MIN($O93:$U93),$O93:$U93,0)),"")),"")</f>
        <v/>
      </c>
      <c r="AK93" s="30">
        <f>IFERROR(IF($G93&lt;&gt;"",INDEX($V$4:$AB$4,MATCH(SMALL($V93:$AB93,2),$V93:$AB93,0)),IF($D93&lt;&gt;"",INDEX($O$4:$U$4,MATCH(SMALL($O93:$U93,2),$O93:$U93,0)),"")),"")</f>
        <v/>
      </c>
      <c r="AL93" s="30">
        <f>IF(OR(G93="",Settings!$B$17=""),"",IF(OR(ABS(G93-Settings!$B$5)&lt;=Settings!$B$17,ABS(G93-Settings!$B$6)&lt;=Settings!$B$17,ABS(G93-Settings!$B$7)&lt;=Settings!$B$17),"NEAR CUT",""))</f>
        <v/>
      </c>
      <c r="AM93" s="31">
        <f>IF('Post-Test Entry'!$AR93&lt;&gt;"","Post essay: code "&amp;'Post-Test Entry'!$AR93,IF('Pre-Test Entry'!$AR93&lt;&gt;"","Pre essay: code "&amp;'Pre-Test Entry'!$AR93,""))</f>
        <v/>
      </c>
      <c r="AN93" s="39">
        <f>IFERROR(IF($AJ93="","",INDEX(Settings!$D$28:$D$34,MATCH($AJ93,Settings!$A$28:$A$34,0))),"")</f>
        <v/>
      </c>
      <c r="AP93">
        <f>IF(D93="","",D93^2)</f>
        <v/>
      </c>
      <c r="AQ93">
        <f>IF(G93="","",G93^2)</f>
        <v/>
      </c>
    </row>
    <row r="94">
      <c r="A94" s="30">
        <f>IF(Roster!$A94="","",Roster!$A94)</f>
        <v/>
      </c>
      <c r="B94" s="31">
        <f>IF(Roster!$B94&lt;&gt;"",Roster!$C94&amp;" "&amp;Roster!$B94,"")</f>
        <v/>
      </c>
      <c r="C94" s="30">
        <f>IF(Roster!$B94&lt;&gt;"",Roster!$D94,"")</f>
        <v/>
      </c>
      <c r="D94" s="16">
        <f>IF(AND(Roster!$B94&lt;&gt;"",COUNT('Pre-Test Entry'!$C94:$AQ94)&gt;0),'Pre-Test Entry'!$AS94,"")</f>
        <v/>
      </c>
      <c r="E94" s="37">
        <f>IFERROR(D94/Settings!$B$8,"")</f>
        <v/>
      </c>
      <c r="F94" s="31">
        <f>IF(D94="","",IF(D94&gt;=Settings!$B$7,"Distinguished Learner",IF(D94&gt;=Settings!$B$6,"Proficient Learner",IF(D94&gt;=Settings!$B$5,"Developing Learner","Beginning Learner"))))</f>
        <v/>
      </c>
      <c r="G94" s="16">
        <f>IF(AND(Roster!$B94&lt;&gt;"",COUNT('Post-Test Entry'!$C94:$AQ94)&gt;0),'Post-Test Entry'!$AS94,"")</f>
        <v/>
      </c>
      <c r="H94" s="37">
        <f>IFERROR(G94/Settings!$B$8,"")</f>
        <v/>
      </c>
      <c r="I94" s="31">
        <f>IF(G94="","",IF(G94&gt;=Settings!$B$7,"Distinguished Learner",IF(G94&gt;=Settings!$B$6,"Proficient Learner",IF(G94&gt;=Settings!$B$5,"Developing Learner","Beginning Learner"))))</f>
        <v/>
      </c>
      <c r="J94" s="16">
        <f>IF(OR(D94="",G94=""),"",G94-D94)</f>
        <v/>
      </c>
      <c r="K94" s="37">
        <f>IFERROR(IF(OR(J94="",J94&lt;=0),"",(G94-D94)/(Settings!$B$8-D94)),"")</f>
        <v/>
      </c>
      <c r="L94" s="38">
        <f>IFERROR(IF(J94="","",(G94-D94)/(Settings!$B$17*SQRT(2))),"")</f>
        <v/>
      </c>
      <c r="M94" s="30">
        <f>IF(L94="","",IF(ABS(L94)&gt;=1.96,"Yes","No"))</f>
        <v/>
      </c>
      <c r="N94" s="30">
        <f>IF(J94="","",IF(J94&gt;=Settings!$B$15,"Yes","No"))</f>
        <v/>
      </c>
      <c r="O94" s="37">
        <f>IFERROR(IF($D94="","",SUMIF('Pre-Test Entry'!$C$3:$AQ$3,Settings!$A$28,'Pre-Test Entry'!$C94:$AQ94)/Settings!$C$28),"")</f>
        <v/>
      </c>
      <c r="P94" s="37">
        <f>IFERROR(IF($D94="","",SUMIF('Pre-Test Entry'!$C$3:$AQ$3,Settings!$A$29,'Pre-Test Entry'!$C94:$AQ94)/Settings!$C$29),"")</f>
        <v/>
      </c>
      <c r="Q94" s="37">
        <f>IFERROR(IF($D94="","",SUMIF('Pre-Test Entry'!$C$3:$AQ$3,Settings!$A$30,'Pre-Test Entry'!$C94:$AQ94)/Settings!$C$30),"")</f>
        <v/>
      </c>
      <c r="R94" s="37">
        <f>IFERROR(IF($D94="","",SUMIF('Pre-Test Entry'!$C$3:$AQ$3,Settings!$A$31,'Pre-Test Entry'!$C94:$AQ94)/Settings!$C$31),"")</f>
        <v/>
      </c>
      <c r="S94" s="37">
        <f>IFERROR(IF($D94="","",SUMIF('Pre-Test Entry'!$C$3:$AQ$3,Settings!$A$32,'Pre-Test Entry'!$C94:$AQ94)/Settings!$C$32),"")</f>
        <v/>
      </c>
      <c r="T94" s="37">
        <f>IFERROR(IF($D94="","",SUMIF('Pre-Test Entry'!$C$3:$AQ$3,Settings!$A$33,'Pre-Test Entry'!$C94:$AQ94)/Settings!$C$33),"")</f>
        <v/>
      </c>
      <c r="U94" s="37">
        <f>IFERROR(IF($D94="","",SUMIF('Pre-Test Entry'!$C$3:$AQ$3,Settings!$A$34,'Pre-Test Entry'!$C94:$AQ94)/Settings!$C$34),"")</f>
        <v/>
      </c>
      <c r="V94" s="37">
        <f>IFERROR(IF($G94="","",SUMIF('Post-Test Entry'!$C$3:$AQ$3,Settings!$A$28,'Post-Test Entry'!$C94:$AQ94)/Settings!$C$28),"")</f>
        <v/>
      </c>
      <c r="W94" s="37">
        <f>IFERROR(IF($G94="","",SUMIF('Post-Test Entry'!$C$3:$AQ$3,Settings!$A$29,'Post-Test Entry'!$C94:$AQ94)/Settings!$C$29),"")</f>
        <v/>
      </c>
      <c r="X94" s="37">
        <f>IFERROR(IF($G94="","",SUMIF('Post-Test Entry'!$C$3:$AQ$3,Settings!$A$30,'Post-Test Entry'!$C94:$AQ94)/Settings!$C$30),"")</f>
        <v/>
      </c>
      <c r="Y94" s="37">
        <f>IFERROR(IF($G94="","",SUMIF('Post-Test Entry'!$C$3:$AQ$3,Settings!$A$31,'Post-Test Entry'!$C94:$AQ94)/Settings!$C$31),"")</f>
        <v/>
      </c>
      <c r="Z94" s="37">
        <f>IFERROR(IF($G94="","",SUMIF('Post-Test Entry'!$C$3:$AQ$3,Settings!$A$32,'Post-Test Entry'!$C94:$AQ94)/Settings!$C$32),"")</f>
        <v/>
      </c>
      <c r="AA94" s="37">
        <f>IFERROR(IF($G94="","",SUMIF('Post-Test Entry'!$C$3:$AQ$3,Settings!$A$33,'Post-Test Entry'!$C94:$AQ94)/Settings!$C$33),"")</f>
        <v/>
      </c>
      <c r="AB94" s="37">
        <f>IFERROR(IF($G94="","",SUMIF('Post-Test Entry'!$C$3:$AQ$3,Settings!$A$34,'Post-Test Entry'!$C94:$AQ94)/Settings!$C$34),"")</f>
        <v/>
      </c>
      <c r="AC94" s="37">
        <f>IF(OR(O94="",V94=""),"",V94-O94)</f>
        <v/>
      </c>
      <c r="AD94" s="37">
        <f>IF(OR(P94="",W94=""),"",W94-P94)</f>
        <v/>
      </c>
      <c r="AE94" s="37">
        <f>IF(OR(Q94="",X94=""),"",X94-Q94)</f>
        <v/>
      </c>
      <c r="AF94" s="37">
        <f>IF(OR(R94="",Y94=""),"",Y94-R94)</f>
        <v/>
      </c>
      <c r="AG94" s="37">
        <f>IF(OR(S94="",Z94=""),"",Z94-S94)</f>
        <v/>
      </c>
      <c r="AH94" s="37">
        <f>IF(OR(T94="",AA94=""),"",AA94-T94)</f>
        <v/>
      </c>
      <c r="AI94" s="37">
        <f>IF(OR(U94="",AB94=""),"",AB94-U94)</f>
        <v/>
      </c>
      <c r="AJ94" s="30">
        <f>IFERROR(IF($G94&lt;&gt;"",INDEX($V$4:$AB$4,MATCH(MIN($V94:$AB94),$V94:$AB94,0)),IF($D94&lt;&gt;"",INDEX($O$4:$U$4,MATCH(MIN($O94:$U94),$O94:$U94,0)),"")),"")</f>
        <v/>
      </c>
      <c r="AK94" s="30">
        <f>IFERROR(IF($G94&lt;&gt;"",INDEX($V$4:$AB$4,MATCH(SMALL($V94:$AB94,2),$V94:$AB94,0)),IF($D94&lt;&gt;"",INDEX($O$4:$U$4,MATCH(SMALL($O94:$U94,2),$O94:$U94,0)),"")),"")</f>
        <v/>
      </c>
      <c r="AL94" s="30">
        <f>IF(OR(G94="",Settings!$B$17=""),"",IF(OR(ABS(G94-Settings!$B$5)&lt;=Settings!$B$17,ABS(G94-Settings!$B$6)&lt;=Settings!$B$17,ABS(G94-Settings!$B$7)&lt;=Settings!$B$17),"NEAR CUT",""))</f>
        <v/>
      </c>
      <c r="AM94" s="31">
        <f>IF('Post-Test Entry'!$AR94&lt;&gt;"","Post essay: code "&amp;'Post-Test Entry'!$AR94,IF('Pre-Test Entry'!$AR94&lt;&gt;"","Pre essay: code "&amp;'Pre-Test Entry'!$AR94,""))</f>
        <v/>
      </c>
      <c r="AN94" s="39">
        <f>IFERROR(IF($AJ94="","",INDEX(Settings!$D$28:$D$34,MATCH($AJ94,Settings!$A$28:$A$34,0))),"")</f>
        <v/>
      </c>
      <c r="AP94">
        <f>IF(D94="","",D94^2)</f>
        <v/>
      </c>
      <c r="AQ94">
        <f>IF(G94="","",G94^2)</f>
        <v/>
      </c>
    </row>
    <row r="95">
      <c r="A95" s="30">
        <f>IF(Roster!$A95="","",Roster!$A95)</f>
        <v/>
      </c>
      <c r="B95" s="31">
        <f>IF(Roster!$B95&lt;&gt;"",Roster!$C95&amp;" "&amp;Roster!$B95,"")</f>
        <v/>
      </c>
      <c r="C95" s="30">
        <f>IF(Roster!$B95&lt;&gt;"",Roster!$D95,"")</f>
        <v/>
      </c>
      <c r="D95" s="16">
        <f>IF(AND(Roster!$B95&lt;&gt;"",COUNT('Pre-Test Entry'!$C95:$AQ95)&gt;0),'Pre-Test Entry'!$AS95,"")</f>
        <v/>
      </c>
      <c r="E95" s="37">
        <f>IFERROR(D95/Settings!$B$8,"")</f>
        <v/>
      </c>
      <c r="F95" s="31">
        <f>IF(D95="","",IF(D95&gt;=Settings!$B$7,"Distinguished Learner",IF(D95&gt;=Settings!$B$6,"Proficient Learner",IF(D95&gt;=Settings!$B$5,"Developing Learner","Beginning Learner"))))</f>
        <v/>
      </c>
      <c r="G95" s="16">
        <f>IF(AND(Roster!$B95&lt;&gt;"",COUNT('Post-Test Entry'!$C95:$AQ95)&gt;0),'Post-Test Entry'!$AS95,"")</f>
        <v/>
      </c>
      <c r="H95" s="37">
        <f>IFERROR(G95/Settings!$B$8,"")</f>
        <v/>
      </c>
      <c r="I95" s="31">
        <f>IF(G95="","",IF(G95&gt;=Settings!$B$7,"Distinguished Learner",IF(G95&gt;=Settings!$B$6,"Proficient Learner",IF(G95&gt;=Settings!$B$5,"Developing Learner","Beginning Learner"))))</f>
        <v/>
      </c>
      <c r="J95" s="16">
        <f>IF(OR(D95="",G95=""),"",G95-D95)</f>
        <v/>
      </c>
      <c r="K95" s="37">
        <f>IFERROR(IF(OR(J95="",J95&lt;=0),"",(G95-D95)/(Settings!$B$8-D95)),"")</f>
        <v/>
      </c>
      <c r="L95" s="38">
        <f>IFERROR(IF(J95="","",(G95-D95)/(Settings!$B$17*SQRT(2))),"")</f>
        <v/>
      </c>
      <c r="M95" s="30">
        <f>IF(L95="","",IF(ABS(L95)&gt;=1.96,"Yes","No"))</f>
        <v/>
      </c>
      <c r="N95" s="30">
        <f>IF(J95="","",IF(J95&gt;=Settings!$B$15,"Yes","No"))</f>
        <v/>
      </c>
      <c r="O95" s="37">
        <f>IFERROR(IF($D95="","",SUMIF('Pre-Test Entry'!$C$3:$AQ$3,Settings!$A$28,'Pre-Test Entry'!$C95:$AQ95)/Settings!$C$28),"")</f>
        <v/>
      </c>
      <c r="P95" s="37">
        <f>IFERROR(IF($D95="","",SUMIF('Pre-Test Entry'!$C$3:$AQ$3,Settings!$A$29,'Pre-Test Entry'!$C95:$AQ95)/Settings!$C$29),"")</f>
        <v/>
      </c>
      <c r="Q95" s="37">
        <f>IFERROR(IF($D95="","",SUMIF('Pre-Test Entry'!$C$3:$AQ$3,Settings!$A$30,'Pre-Test Entry'!$C95:$AQ95)/Settings!$C$30),"")</f>
        <v/>
      </c>
      <c r="R95" s="37">
        <f>IFERROR(IF($D95="","",SUMIF('Pre-Test Entry'!$C$3:$AQ$3,Settings!$A$31,'Pre-Test Entry'!$C95:$AQ95)/Settings!$C$31),"")</f>
        <v/>
      </c>
      <c r="S95" s="37">
        <f>IFERROR(IF($D95="","",SUMIF('Pre-Test Entry'!$C$3:$AQ$3,Settings!$A$32,'Pre-Test Entry'!$C95:$AQ95)/Settings!$C$32),"")</f>
        <v/>
      </c>
      <c r="T95" s="37">
        <f>IFERROR(IF($D95="","",SUMIF('Pre-Test Entry'!$C$3:$AQ$3,Settings!$A$33,'Pre-Test Entry'!$C95:$AQ95)/Settings!$C$33),"")</f>
        <v/>
      </c>
      <c r="U95" s="37">
        <f>IFERROR(IF($D95="","",SUMIF('Pre-Test Entry'!$C$3:$AQ$3,Settings!$A$34,'Pre-Test Entry'!$C95:$AQ95)/Settings!$C$34),"")</f>
        <v/>
      </c>
      <c r="V95" s="37">
        <f>IFERROR(IF($G95="","",SUMIF('Post-Test Entry'!$C$3:$AQ$3,Settings!$A$28,'Post-Test Entry'!$C95:$AQ95)/Settings!$C$28),"")</f>
        <v/>
      </c>
      <c r="W95" s="37">
        <f>IFERROR(IF($G95="","",SUMIF('Post-Test Entry'!$C$3:$AQ$3,Settings!$A$29,'Post-Test Entry'!$C95:$AQ95)/Settings!$C$29),"")</f>
        <v/>
      </c>
      <c r="X95" s="37">
        <f>IFERROR(IF($G95="","",SUMIF('Post-Test Entry'!$C$3:$AQ$3,Settings!$A$30,'Post-Test Entry'!$C95:$AQ95)/Settings!$C$30),"")</f>
        <v/>
      </c>
      <c r="Y95" s="37">
        <f>IFERROR(IF($G95="","",SUMIF('Post-Test Entry'!$C$3:$AQ$3,Settings!$A$31,'Post-Test Entry'!$C95:$AQ95)/Settings!$C$31),"")</f>
        <v/>
      </c>
      <c r="Z95" s="37">
        <f>IFERROR(IF($G95="","",SUMIF('Post-Test Entry'!$C$3:$AQ$3,Settings!$A$32,'Post-Test Entry'!$C95:$AQ95)/Settings!$C$32),"")</f>
        <v/>
      </c>
      <c r="AA95" s="37">
        <f>IFERROR(IF($G95="","",SUMIF('Post-Test Entry'!$C$3:$AQ$3,Settings!$A$33,'Post-Test Entry'!$C95:$AQ95)/Settings!$C$33),"")</f>
        <v/>
      </c>
      <c r="AB95" s="37">
        <f>IFERROR(IF($G95="","",SUMIF('Post-Test Entry'!$C$3:$AQ$3,Settings!$A$34,'Post-Test Entry'!$C95:$AQ95)/Settings!$C$34),"")</f>
        <v/>
      </c>
      <c r="AC95" s="37">
        <f>IF(OR(O95="",V95=""),"",V95-O95)</f>
        <v/>
      </c>
      <c r="AD95" s="37">
        <f>IF(OR(P95="",W95=""),"",W95-P95)</f>
        <v/>
      </c>
      <c r="AE95" s="37">
        <f>IF(OR(Q95="",X95=""),"",X95-Q95)</f>
        <v/>
      </c>
      <c r="AF95" s="37">
        <f>IF(OR(R95="",Y95=""),"",Y95-R95)</f>
        <v/>
      </c>
      <c r="AG95" s="37">
        <f>IF(OR(S95="",Z95=""),"",Z95-S95)</f>
        <v/>
      </c>
      <c r="AH95" s="37">
        <f>IF(OR(T95="",AA95=""),"",AA95-T95)</f>
        <v/>
      </c>
      <c r="AI95" s="37">
        <f>IF(OR(U95="",AB95=""),"",AB95-U95)</f>
        <v/>
      </c>
      <c r="AJ95" s="30">
        <f>IFERROR(IF($G95&lt;&gt;"",INDEX($V$4:$AB$4,MATCH(MIN($V95:$AB95),$V95:$AB95,0)),IF($D95&lt;&gt;"",INDEX($O$4:$U$4,MATCH(MIN($O95:$U95),$O95:$U95,0)),"")),"")</f>
        <v/>
      </c>
      <c r="AK95" s="30">
        <f>IFERROR(IF($G95&lt;&gt;"",INDEX($V$4:$AB$4,MATCH(SMALL($V95:$AB95,2),$V95:$AB95,0)),IF($D95&lt;&gt;"",INDEX($O$4:$U$4,MATCH(SMALL($O95:$U95,2),$O95:$U95,0)),"")),"")</f>
        <v/>
      </c>
      <c r="AL95" s="30">
        <f>IF(OR(G95="",Settings!$B$17=""),"",IF(OR(ABS(G95-Settings!$B$5)&lt;=Settings!$B$17,ABS(G95-Settings!$B$6)&lt;=Settings!$B$17,ABS(G95-Settings!$B$7)&lt;=Settings!$B$17),"NEAR CUT",""))</f>
        <v/>
      </c>
      <c r="AM95" s="31">
        <f>IF('Post-Test Entry'!$AR95&lt;&gt;"","Post essay: code "&amp;'Post-Test Entry'!$AR95,IF('Pre-Test Entry'!$AR95&lt;&gt;"","Pre essay: code "&amp;'Pre-Test Entry'!$AR95,""))</f>
        <v/>
      </c>
      <c r="AN95" s="39">
        <f>IFERROR(IF($AJ95="","",INDEX(Settings!$D$28:$D$34,MATCH($AJ95,Settings!$A$28:$A$34,0))),"")</f>
        <v/>
      </c>
      <c r="AP95">
        <f>IF(D95="","",D95^2)</f>
        <v/>
      </c>
      <c r="AQ95">
        <f>IF(G95="","",G95^2)</f>
        <v/>
      </c>
    </row>
    <row r="96">
      <c r="A96" s="30">
        <f>IF(Roster!$A96="","",Roster!$A96)</f>
        <v/>
      </c>
      <c r="B96" s="31">
        <f>IF(Roster!$B96&lt;&gt;"",Roster!$C96&amp;" "&amp;Roster!$B96,"")</f>
        <v/>
      </c>
      <c r="C96" s="30">
        <f>IF(Roster!$B96&lt;&gt;"",Roster!$D96,"")</f>
        <v/>
      </c>
      <c r="D96" s="16">
        <f>IF(AND(Roster!$B96&lt;&gt;"",COUNT('Pre-Test Entry'!$C96:$AQ96)&gt;0),'Pre-Test Entry'!$AS96,"")</f>
        <v/>
      </c>
      <c r="E96" s="37">
        <f>IFERROR(D96/Settings!$B$8,"")</f>
        <v/>
      </c>
      <c r="F96" s="31">
        <f>IF(D96="","",IF(D96&gt;=Settings!$B$7,"Distinguished Learner",IF(D96&gt;=Settings!$B$6,"Proficient Learner",IF(D96&gt;=Settings!$B$5,"Developing Learner","Beginning Learner"))))</f>
        <v/>
      </c>
      <c r="G96" s="16">
        <f>IF(AND(Roster!$B96&lt;&gt;"",COUNT('Post-Test Entry'!$C96:$AQ96)&gt;0),'Post-Test Entry'!$AS96,"")</f>
        <v/>
      </c>
      <c r="H96" s="37">
        <f>IFERROR(G96/Settings!$B$8,"")</f>
        <v/>
      </c>
      <c r="I96" s="31">
        <f>IF(G96="","",IF(G96&gt;=Settings!$B$7,"Distinguished Learner",IF(G96&gt;=Settings!$B$6,"Proficient Learner",IF(G96&gt;=Settings!$B$5,"Developing Learner","Beginning Learner"))))</f>
        <v/>
      </c>
      <c r="J96" s="16">
        <f>IF(OR(D96="",G96=""),"",G96-D96)</f>
        <v/>
      </c>
      <c r="K96" s="37">
        <f>IFERROR(IF(OR(J96="",J96&lt;=0),"",(G96-D96)/(Settings!$B$8-D96)),"")</f>
        <v/>
      </c>
      <c r="L96" s="38">
        <f>IFERROR(IF(J96="","",(G96-D96)/(Settings!$B$17*SQRT(2))),"")</f>
        <v/>
      </c>
      <c r="M96" s="30">
        <f>IF(L96="","",IF(ABS(L96)&gt;=1.96,"Yes","No"))</f>
        <v/>
      </c>
      <c r="N96" s="30">
        <f>IF(J96="","",IF(J96&gt;=Settings!$B$15,"Yes","No"))</f>
        <v/>
      </c>
      <c r="O96" s="37">
        <f>IFERROR(IF($D96="","",SUMIF('Pre-Test Entry'!$C$3:$AQ$3,Settings!$A$28,'Pre-Test Entry'!$C96:$AQ96)/Settings!$C$28),"")</f>
        <v/>
      </c>
      <c r="P96" s="37">
        <f>IFERROR(IF($D96="","",SUMIF('Pre-Test Entry'!$C$3:$AQ$3,Settings!$A$29,'Pre-Test Entry'!$C96:$AQ96)/Settings!$C$29),"")</f>
        <v/>
      </c>
      <c r="Q96" s="37">
        <f>IFERROR(IF($D96="","",SUMIF('Pre-Test Entry'!$C$3:$AQ$3,Settings!$A$30,'Pre-Test Entry'!$C96:$AQ96)/Settings!$C$30),"")</f>
        <v/>
      </c>
      <c r="R96" s="37">
        <f>IFERROR(IF($D96="","",SUMIF('Pre-Test Entry'!$C$3:$AQ$3,Settings!$A$31,'Pre-Test Entry'!$C96:$AQ96)/Settings!$C$31),"")</f>
        <v/>
      </c>
      <c r="S96" s="37">
        <f>IFERROR(IF($D96="","",SUMIF('Pre-Test Entry'!$C$3:$AQ$3,Settings!$A$32,'Pre-Test Entry'!$C96:$AQ96)/Settings!$C$32),"")</f>
        <v/>
      </c>
      <c r="T96" s="37">
        <f>IFERROR(IF($D96="","",SUMIF('Pre-Test Entry'!$C$3:$AQ$3,Settings!$A$33,'Pre-Test Entry'!$C96:$AQ96)/Settings!$C$33),"")</f>
        <v/>
      </c>
      <c r="U96" s="37">
        <f>IFERROR(IF($D96="","",SUMIF('Pre-Test Entry'!$C$3:$AQ$3,Settings!$A$34,'Pre-Test Entry'!$C96:$AQ96)/Settings!$C$34),"")</f>
        <v/>
      </c>
      <c r="V96" s="37">
        <f>IFERROR(IF($G96="","",SUMIF('Post-Test Entry'!$C$3:$AQ$3,Settings!$A$28,'Post-Test Entry'!$C96:$AQ96)/Settings!$C$28),"")</f>
        <v/>
      </c>
      <c r="W96" s="37">
        <f>IFERROR(IF($G96="","",SUMIF('Post-Test Entry'!$C$3:$AQ$3,Settings!$A$29,'Post-Test Entry'!$C96:$AQ96)/Settings!$C$29),"")</f>
        <v/>
      </c>
      <c r="X96" s="37">
        <f>IFERROR(IF($G96="","",SUMIF('Post-Test Entry'!$C$3:$AQ$3,Settings!$A$30,'Post-Test Entry'!$C96:$AQ96)/Settings!$C$30),"")</f>
        <v/>
      </c>
      <c r="Y96" s="37">
        <f>IFERROR(IF($G96="","",SUMIF('Post-Test Entry'!$C$3:$AQ$3,Settings!$A$31,'Post-Test Entry'!$C96:$AQ96)/Settings!$C$31),"")</f>
        <v/>
      </c>
      <c r="Z96" s="37">
        <f>IFERROR(IF($G96="","",SUMIF('Post-Test Entry'!$C$3:$AQ$3,Settings!$A$32,'Post-Test Entry'!$C96:$AQ96)/Settings!$C$32),"")</f>
        <v/>
      </c>
      <c r="AA96" s="37">
        <f>IFERROR(IF($G96="","",SUMIF('Post-Test Entry'!$C$3:$AQ$3,Settings!$A$33,'Post-Test Entry'!$C96:$AQ96)/Settings!$C$33),"")</f>
        <v/>
      </c>
      <c r="AB96" s="37">
        <f>IFERROR(IF($G96="","",SUMIF('Post-Test Entry'!$C$3:$AQ$3,Settings!$A$34,'Post-Test Entry'!$C96:$AQ96)/Settings!$C$34),"")</f>
        <v/>
      </c>
      <c r="AC96" s="37">
        <f>IF(OR(O96="",V96=""),"",V96-O96)</f>
        <v/>
      </c>
      <c r="AD96" s="37">
        <f>IF(OR(P96="",W96=""),"",W96-P96)</f>
        <v/>
      </c>
      <c r="AE96" s="37">
        <f>IF(OR(Q96="",X96=""),"",X96-Q96)</f>
        <v/>
      </c>
      <c r="AF96" s="37">
        <f>IF(OR(R96="",Y96=""),"",Y96-R96)</f>
        <v/>
      </c>
      <c r="AG96" s="37">
        <f>IF(OR(S96="",Z96=""),"",Z96-S96)</f>
        <v/>
      </c>
      <c r="AH96" s="37">
        <f>IF(OR(T96="",AA96=""),"",AA96-T96)</f>
        <v/>
      </c>
      <c r="AI96" s="37">
        <f>IF(OR(U96="",AB96=""),"",AB96-U96)</f>
        <v/>
      </c>
      <c r="AJ96" s="30">
        <f>IFERROR(IF($G96&lt;&gt;"",INDEX($V$4:$AB$4,MATCH(MIN($V96:$AB96),$V96:$AB96,0)),IF($D96&lt;&gt;"",INDEX($O$4:$U$4,MATCH(MIN($O96:$U96),$O96:$U96,0)),"")),"")</f>
        <v/>
      </c>
      <c r="AK96" s="30">
        <f>IFERROR(IF($G96&lt;&gt;"",INDEX($V$4:$AB$4,MATCH(SMALL($V96:$AB96,2),$V96:$AB96,0)),IF($D96&lt;&gt;"",INDEX($O$4:$U$4,MATCH(SMALL($O96:$U96,2),$O96:$U96,0)),"")),"")</f>
        <v/>
      </c>
      <c r="AL96" s="30">
        <f>IF(OR(G96="",Settings!$B$17=""),"",IF(OR(ABS(G96-Settings!$B$5)&lt;=Settings!$B$17,ABS(G96-Settings!$B$6)&lt;=Settings!$B$17,ABS(G96-Settings!$B$7)&lt;=Settings!$B$17),"NEAR CUT",""))</f>
        <v/>
      </c>
      <c r="AM96" s="31">
        <f>IF('Post-Test Entry'!$AR96&lt;&gt;"","Post essay: code "&amp;'Post-Test Entry'!$AR96,IF('Pre-Test Entry'!$AR96&lt;&gt;"","Pre essay: code "&amp;'Pre-Test Entry'!$AR96,""))</f>
        <v/>
      </c>
      <c r="AN96" s="39">
        <f>IFERROR(IF($AJ96="","",INDEX(Settings!$D$28:$D$34,MATCH($AJ96,Settings!$A$28:$A$34,0))),"")</f>
        <v/>
      </c>
      <c r="AP96">
        <f>IF(D96="","",D96^2)</f>
        <v/>
      </c>
      <c r="AQ96">
        <f>IF(G96="","",G96^2)</f>
        <v/>
      </c>
    </row>
    <row r="97">
      <c r="A97" s="30">
        <f>IF(Roster!$A97="","",Roster!$A97)</f>
        <v/>
      </c>
      <c r="B97" s="31">
        <f>IF(Roster!$B97&lt;&gt;"",Roster!$C97&amp;" "&amp;Roster!$B97,"")</f>
        <v/>
      </c>
      <c r="C97" s="30">
        <f>IF(Roster!$B97&lt;&gt;"",Roster!$D97,"")</f>
        <v/>
      </c>
      <c r="D97" s="16">
        <f>IF(AND(Roster!$B97&lt;&gt;"",COUNT('Pre-Test Entry'!$C97:$AQ97)&gt;0),'Pre-Test Entry'!$AS97,"")</f>
        <v/>
      </c>
      <c r="E97" s="37">
        <f>IFERROR(D97/Settings!$B$8,"")</f>
        <v/>
      </c>
      <c r="F97" s="31">
        <f>IF(D97="","",IF(D97&gt;=Settings!$B$7,"Distinguished Learner",IF(D97&gt;=Settings!$B$6,"Proficient Learner",IF(D97&gt;=Settings!$B$5,"Developing Learner","Beginning Learner"))))</f>
        <v/>
      </c>
      <c r="G97" s="16">
        <f>IF(AND(Roster!$B97&lt;&gt;"",COUNT('Post-Test Entry'!$C97:$AQ97)&gt;0),'Post-Test Entry'!$AS97,"")</f>
        <v/>
      </c>
      <c r="H97" s="37">
        <f>IFERROR(G97/Settings!$B$8,"")</f>
        <v/>
      </c>
      <c r="I97" s="31">
        <f>IF(G97="","",IF(G97&gt;=Settings!$B$7,"Distinguished Learner",IF(G97&gt;=Settings!$B$6,"Proficient Learner",IF(G97&gt;=Settings!$B$5,"Developing Learner","Beginning Learner"))))</f>
        <v/>
      </c>
      <c r="J97" s="16">
        <f>IF(OR(D97="",G97=""),"",G97-D97)</f>
        <v/>
      </c>
      <c r="K97" s="37">
        <f>IFERROR(IF(OR(J97="",J97&lt;=0),"",(G97-D97)/(Settings!$B$8-D97)),"")</f>
        <v/>
      </c>
      <c r="L97" s="38">
        <f>IFERROR(IF(J97="","",(G97-D97)/(Settings!$B$17*SQRT(2))),"")</f>
        <v/>
      </c>
      <c r="M97" s="30">
        <f>IF(L97="","",IF(ABS(L97)&gt;=1.96,"Yes","No"))</f>
        <v/>
      </c>
      <c r="N97" s="30">
        <f>IF(J97="","",IF(J97&gt;=Settings!$B$15,"Yes","No"))</f>
        <v/>
      </c>
      <c r="O97" s="37">
        <f>IFERROR(IF($D97="","",SUMIF('Pre-Test Entry'!$C$3:$AQ$3,Settings!$A$28,'Pre-Test Entry'!$C97:$AQ97)/Settings!$C$28),"")</f>
        <v/>
      </c>
      <c r="P97" s="37">
        <f>IFERROR(IF($D97="","",SUMIF('Pre-Test Entry'!$C$3:$AQ$3,Settings!$A$29,'Pre-Test Entry'!$C97:$AQ97)/Settings!$C$29),"")</f>
        <v/>
      </c>
      <c r="Q97" s="37">
        <f>IFERROR(IF($D97="","",SUMIF('Pre-Test Entry'!$C$3:$AQ$3,Settings!$A$30,'Pre-Test Entry'!$C97:$AQ97)/Settings!$C$30),"")</f>
        <v/>
      </c>
      <c r="R97" s="37">
        <f>IFERROR(IF($D97="","",SUMIF('Pre-Test Entry'!$C$3:$AQ$3,Settings!$A$31,'Pre-Test Entry'!$C97:$AQ97)/Settings!$C$31),"")</f>
        <v/>
      </c>
      <c r="S97" s="37">
        <f>IFERROR(IF($D97="","",SUMIF('Pre-Test Entry'!$C$3:$AQ$3,Settings!$A$32,'Pre-Test Entry'!$C97:$AQ97)/Settings!$C$32),"")</f>
        <v/>
      </c>
      <c r="T97" s="37">
        <f>IFERROR(IF($D97="","",SUMIF('Pre-Test Entry'!$C$3:$AQ$3,Settings!$A$33,'Pre-Test Entry'!$C97:$AQ97)/Settings!$C$33),"")</f>
        <v/>
      </c>
      <c r="U97" s="37">
        <f>IFERROR(IF($D97="","",SUMIF('Pre-Test Entry'!$C$3:$AQ$3,Settings!$A$34,'Pre-Test Entry'!$C97:$AQ97)/Settings!$C$34),"")</f>
        <v/>
      </c>
      <c r="V97" s="37">
        <f>IFERROR(IF($G97="","",SUMIF('Post-Test Entry'!$C$3:$AQ$3,Settings!$A$28,'Post-Test Entry'!$C97:$AQ97)/Settings!$C$28),"")</f>
        <v/>
      </c>
      <c r="W97" s="37">
        <f>IFERROR(IF($G97="","",SUMIF('Post-Test Entry'!$C$3:$AQ$3,Settings!$A$29,'Post-Test Entry'!$C97:$AQ97)/Settings!$C$29),"")</f>
        <v/>
      </c>
      <c r="X97" s="37">
        <f>IFERROR(IF($G97="","",SUMIF('Post-Test Entry'!$C$3:$AQ$3,Settings!$A$30,'Post-Test Entry'!$C97:$AQ97)/Settings!$C$30),"")</f>
        <v/>
      </c>
      <c r="Y97" s="37">
        <f>IFERROR(IF($G97="","",SUMIF('Post-Test Entry'!$C$3:$AQ$3,Settings!$A$31,'Post-Test Entry'!$C97:$AQ97)/Settings!$C$31),"")</f>
        <v/>
      </c>
      <c r="Z97" s="37">
        <f>IFERROR(IF($G97="","",SUMIF('Post-Test Entry'!$C$3:$AQ$3,Settings!$A$32,'Post-Test Entry'!$C97:$AQ97)/Settings!$C$32),"")</f>
        <v/>
      </c>
      <c r="AA97" s="37">
        <f>IFERROR(IF($G97="","",SUMIF('Post-Test Entry'!$C$3:$AQ$3,Settings!$A$33,'Post-Test Entry'!$C97:$AQ97)/Settings!$C$33),"")</f>
        <v/>
      </c>
      <c r="AB97" s="37">
        <f>IFERROR(IF($G97="","",SUMIF('Post-Test Entry'!$C$3:$AQ$3,Settings!$A$34,'Post-Test Entry'!$C97:$AQ97)/Settings!$C$34),"")</f>
        <v/>
      </c>
      <c r="AC97" s="37">
        <f>IF(OR(O97="",V97=""),"",V97-O97)</f>
        <v/>
      </c>
      <c r="AD97" s="37">
        <f>IF(OR(P97="",W97=""),"",W97-P97)</f>
        <v/>
      </c>
      <c r="AE97" s="37">
        <f>IF(OR(Q97="",X97=""),"",X97-Q97)</f>
        <v/>
      </c>
      <c r="AF97" s="37">
        <f>IF(OR(R97="",Y97=""),"",Y97-R97)</f>
        <v/>
      </c>
      <c r="AG97" s="37">
        <f>IF(OR(S97="",Z97=""),"",Z97-S97)</f>
        <v/>
      </c>
      <c r="AH97" s="37">
        <f>IF(OR(T97="",AA97=""),"",AA97-T97)</f>
        <v/>
      </c>
      <c r="AI97" s="37">
        <f>IF(OR(U97="",AB97=""),"",AB97-U97)</f>
        <v/>
      </c>
      <c r="AJ97" s="30">
        <f>IFERROR(IF($G97&lt;&gt;"",INDEX($V$4:$AB$4,MATCH(MIN($V97:$AB97),$V97:$AB97,0)),IF($D97&lt;&gt;"",INDEX($O$4:$U$4,MATCH(MIN($O97:$U97),$O97:$U97,0)),"")),"")</f>
        <v/>
      </c>
      <c r="AK97" s="30">
        <f>IFERROR(IF($G97&lt;&gt;"",INDEX($V$4:$AB$4,MATCH(SMALL($V97:$AB97,2),$V97:$AB97,0)),IF($D97&lt;&gt;"",INDEX($O$4:$U$4,MATCH(SMALL($O97:$U97,2),$O97:$U97,0)),"")),"")</f>
        <v/>
      </c>
      <c r="AL97" s="30">
        <f>IF(OR(G97="",Settings!$B$17=""),"",IF(OR(ABS(G97-Settings!$B$5)&lt;=Settings!$B$17,ABS(G97-Settings!$B$6)&lt;=Settings!$B$17,ABS(G97-Settings!$B$7)&lt;=Settings!$B$17),"NEAR CUT",""))</f>
        <v/>
      </c>
      <c r="AM97" s="31">
        <f>IF('Post-Test Entry'!$AR97&lt;&gt;"","Post essay: code "&amp;'Post-Test Entry'!$AR97,IF('Pre-Test Entry'!$AR97&lt;&gt;"","Pre essay: code "&amp;'Pre-Test Entry'!$AR97,""))</f>
        <v/>
      </c>
      <c r="AN97" s="39">
        <f>IFERROR(IF($AJ97="","",INDEX(Settings!$D$28:$D$34,MATCH($AJ97,Settings!$A$28:$A$34,0))),"")</f>
        <v/>
      </c>
      <c r="AP97">
        <f>IF(D97="","",D97^2)</f>
        <v/>
      </c>
      <c r="AQ97">
        <f>IF(G97="","",G97^2)</f>
        <v/>
      </c>
    </row>
    <row r="98">
      <c r="A98" s="30">
        <f>IF(Roster!$A98="","",Roster!$A98)</f>
        <v/>
      </c>
      <c r="B98" s="31">
        <f>IF(Roster!$B98&lt;&gt;"",Roster!$C98&amp;" "&amp;Roster!$B98,"")</f>
        <v/>
      </c>
      <c r="C98" s="30">
        <f>IF(Roster!$B98&lt;&gt;"",Roster!$D98,"")</f>
        <v/>
      </c>
      <c r="D98" s="16">
        <f>IF(AND(Roster!$B98&lt;&gt;"",COUNT('Pre-Test Entry'!$C98:$AQ98)&gt;0),'Pre-Test Entry'!$AS98,"")</f>
        <v/>
      </c>
      <c r="E98" s="37">
        <f>IFERROR(D98/Settings!$B$8,"")</f>
        <v/>
      </c>
      <c r="F98" s="31">
        <f>IF(D98="","",IF(D98&gt;=Settings!$B$7,"Distinguished Learner",IF(D98&gt;=Settings!$B$6,"Proficient Learner",IF(D98&gt;=Settings!$B$5,"Developing Learner","Beginning Learner"))))</f>
        <v/>
      </c>
      <c r="G98" s="16">
        <f>IF(AND(Roster!$B98&lt;&gt;"",COUNT('Post-Test Entry'!$C98:$AQ98)&gt;0),'Post-Test Entry'!$AS98,"")</f>
        <v/>
      </c>
      <c r="H98" s="37">
        <f>IFERROR(G98/Settings!$B$8,"")</f>
        <v/>
      </c>
      <c r="I98" s="31">
        <f>IF(G98="","",IF(G98&gt;=Settings!$B$7,"Distinguished Learner",IF(G98&gt;=Settings!$B$6,"Proficient Learner",IF(G98&gt;=Settings!$B$5,"Developing Learner","Beginning Learner"))))</f>
        <v/>
      </c>
      <c r="J98" s="16">
        <f>IF(OR(D98="",G98=""),"",G98-D98)</f>
        <v/>
      </c>
      <c r="K98" s="37">
        <f>IFERROR(IF(OR(J98="",J98&lt;=0),"",(G98-D98)/(Settings!$B$8-D98)),"")</f>
        <v/>
      </c>
      <c r="L98" s="38">
        <f>IFERROR(IF(J98="","",(G98-D98)/(Settings!$B$17*SQRT(2))),"")</f>
        <v/>
      </c>
      <c r="M98" s="30">
        <f>IF(L98="","",IF(ABS(L98)&gt;=1.96,"Yes","No"))</f>
        <v/>
      </c>
      <c r="N98" s="30">
        <f>IF(J98="","",IF(J98&gt;=Settings!$B$15,"Yes","No"))</f>
        <v/>
      </c>
      <c r="O98" s="37">
        <f>IFERROR(IF($D98="","",SUMIF('Pre-Test Entry'!$C$3:$AQ$3,Settings!$A$28,'Pre-Test Entry'!$C98:$AQ98)/Settings!$C$28),"")</f>
        <v/>
      </c>
      <c r="P98" s="37">
        <f>IFERROR(IF($D98="","",SUMIF('Pre-Test Entry'!$C$3:$AQ$3,Settings!$A$29,'Pre-Test Entry'!$C98:$AQ98)/Settings!$C$29),"")</f>
        <v/>
      </c>
      <c r="Q98" s="37">
        <f>IFERROR(IF($D98="","",SUMIF('Pre-Test Entry'!$C$3:$AQ$3,Settings!$A$30,'Pre-Test Entry'!$C98:$AQ98)/Settings!$C$30),"")</f>
        <v/>
      </c>
      <c r="R98" s="37">
        <f>IFERROR(IF($D98="","",SUMIF('Pre-Test Entry'!$C$3:$AQ$3,Settings!$A$31,'Pre-Test Entry'!$C98:$AQ98)/Settings!$C$31),"")</f>
        <v/>
      </c>
      <c r="S98" s="37">
        <f>IFERROR(IF($D98="","",SUMIF('Pre-Test Entry'!$C$3:$AQ$3,Settings!$A$32,'Pre-Test Entry'!$C98:$AQ98)/Settings!$C$32),"")</f>
        <v/>
      </c>
      <c r="T98" s="37">
        <f>IFERROR(IF($D98="","",SUMIF('Pre-Test Entry'!$C$3:$AQ$3,Settings!$A$33,'Pre-Test Entry'!$C98:$AQ98)/Settings!$C$33),"")</f>
        <v/>
      </c>
      <c r="U98" s="37">
        <f>IFERROR(IF($D98="","",SUMIF('Pre-Test Entry'!$C$3:$AQ$3,Settings!$A$34,'Pre-Test Entry'!$C98:$AQ98)/Settings!$C$34),"")</f>
        <v/>
      </c>
      <c r="V98" s="37">
        <f>IFERROR(IF($G98="","",SUMIF('Post-Test Entry'!$C$3:$AQ$3,Settings!$A$28,'Post-Test Entry'!$C98:$AQ98)/Settings!$C$28),"")</f>
        <v/>
      </c>
      <c r="W98" s="37">
        <f>IFERROR(IF($G98="","",SUMIF('Post-Test Entry'!$C$3:$AQ$3,Settings!$A$29,'Post-Test Entry'!$C98:$AQ98)/Settings!$C$29),"")</f>
        <v/>
      </c>
      <c r="X98" s="37">
        <f>IFERROR(IF($G98="","",SUMIF('Post-Test Entry'!$C$3:$AQ$3,Settings!$A$30,'Post-Test Entry'!$C98:$AQ98)/Settings!$C$30),"")</f>
        <v/>
      </c>
      <c r="Y98" s="37">
        <f>IFERROR(IF($G98="","",SUMIF('Post-Test Entry'!$C$3:$AQ$3,Settings!$A$31,'Post-Test Entry'!$C98:$AQ98)/Settings!$C$31),"")</f>
        <v/>
      </c>
      <c r="Z98" s="37">
        <f>IFERROR(IF($G98="","",SUMIF('Post-Test Entry'!$C$3:$AQ$3,Settings!$A$32,'Post-Test Entry'!$C98:$AQ98)/Settings!$C$32),"")</f>
        <v/>
      </c>
      <c r="AA98" s="37">
        <f>IFERROR(IF($G98="","",SUMIF('Post-Test Entry'!$C$3:$AQ$3,Settings!$A$33,'Post-Test Entry'!$C98:$AQ98)/Settings!$C$33),"")</f>
        <v/>
      </c>
      <c r="AB98" s="37">
        <f>IFERROR(IF($G98="","",SUMIF('Post-Test Entry'!$C$3:$AQ$3,Settings!$A$34,'Post-Test Entry'!$C98:$AQ98)/Settings!$C$34),"")</f>
        <v/>
      </c>
      <c r="AC98" s="37">
        <f>IF(OR(O98="",V98=""),"",V98-O98)</f>
        <v/>
      </c>
      <c r="AD98" s="37">
        <f>IF(OR(P98="",W98=""),"",W98-P98)</f>
        <v/>
      </c>
      <c r="AE98" s="37">
        <f>IF(OR(Q98="",X98=""),"",X98-Q98)</f>
        <v/>
      </c>
      <c r="AF98" s="37">
        <f>IF(OR(R98="",Y98=""),"",Y98-R98)</f>
        <v/>
      </c>
      <c r="AG98" s="37">
        <f>IF(OR(S98="",Z98=""),"",Z98-S98)</f>
        <v/>
      </c>
      <c r="AH98" s="37">
        <f>IF(OR(T98="",AA98=""),"",AA98-T98)</f>
        <v/>
      </c>
      <c r="AI98" s="37">
        <f>IF(OR(U98="",AB98=""),"",AB98-U98)</f>
        <v/>
      </c>
      <c r="AJ98" s="30">
        <f>IFERROR(IF($G98&lt;&gt;"",INDEX($V$4:$AB$4,MATCH(MIN($V98:$AB98),$V98:$AB98,0)),IF($D98&lt;&gt;"",INDEX($O$4:$U$4,MATCH(MIN($O98:$U98),$O98:$U98,0)),"")),"")</f>
        <v/>
      </c>
      <c r="AK98" s="30">
        <f>IFERROR(IF($G98&lt;&gt;"",INDEX($V$4:$AB$4,MATCH(SMALL($V98:$AB98,2),$V98:$AB98,0)),IF($D98&lt;&gt;"",INDEX($O$4:$U$4,MATCH(SMALL($O98:$U98,2),$O98:$U98,0)),"")),"")</f>
        <v/>
      </c>
      <c r="AL98" s="30">
        <f>IF(OR(G98="",Settings!$B$17=""),"",IF(OR(ABS(G98-Settings!$B$5)&lt;=Settings!$B$17,ABS(G98-Settings!$B$6)&lt;=Settings!$B$17,ABS(G98-Settings!$B$7)&lt;=Settings!$B$17),"NEAR CUT",""))</f>
        <v/>
      </c>
      <c r="AM98" s="31">
        <f>IF('Post-Test Entry'!$AR98&lt;&gt;"","Post essay: code "&amp;'Post-Test Entry'!$AR98,IF('Pre-Test Entry'!$AR98&lt;&gt;"","Pre essay: code "&amp;'Pre-Test Entry'!$AR98,""))</f>
        <v/>
      </c>
      <c r="AN98" s="39">
        <f>IFERROR(IF($AJ98="","",INDEX(Settings!$D$28:$D$34,MATCH($AJ98,Settings!$A$28:$A$34,0))),"")</f>
        <v/>
      </c>
      <c r="AP98">
        <f>IF(D98="","",D98^2)</f>
        <v/>
      </c>
      <c r="AQ98">
        <f>IF(G98="","",G98^2)</f>
        <v/>
      </c>
    </row>
    <row r="99">
      <c r="A99" s="30">
        <f>IF(Roster!$A99="","",Roster!$A99)</f>
        <v/>
      </c>
      <c r="B99" s="31">
        <f>IF(Roster!$B99&lt;&gt;"",Roster!$C99&amp;" "&amp;Roster!$B99,"")</f>
        <v/>
      </c>
      <c r="C99" s="30">
        <f>IF(Roster!$B99&lt;&gt;"",Roster!$D99,"")</f>
        <v/>
      </c>
      <c r="D99" s="16">
        <f>IF(AND(Roster!$B99&lt;&gt;"",COUNT('Pre-Test Entry'!$C99:$AQ99)&gt;0),'Pre-Test Entry'!$AS99,"")</f>
        <v/>
      </c>
      <c r="E99" s="37">
        <f>IFERROR(D99/Settings!$B$8,"")</f>
        <v/>
      </c>
      <c r="F99" s="31">
        <f>IF(D99="","",IF(D99&gt;=Settings!$B$7,"Distinguished Learner",IF(D99&gt;=Settings!$B$6,"Proficient Learner",IF(D99&gt;=Settings!$B$5,"Developing Learner","Beginning Learner"))))</f>
        <v/>
      </c>
      <c r="G99" s="16">
        <f>IF(AND(Roster!$B99&lt;&gt;"",COUNT('Post-Test Entry'!$C99:$AQ99)&gt;0),'Post-Test Entry'!$AS99,"")</f>
        <v/>
      </c>
      <c r="H99" s="37">
        <f>IFERROR(G99/Settings!$B$8,"")</f>
        <v/>
      </c>
      <c r="I99" s="31">
        <f>IF(G99="","",IF(G99&gt;=Settings!$B$7,"Distinguished Learner",IF(G99&gt;=Settings!$B$6,"Proficient Learner",IF(G99&gt;=Settings!$B$5,"Developing Learner","Beginning Learner"))))</f>
        <v/>
      </c>
      <c r="J99" s="16">
        <f>IF(OR(D99="",G99=""),"",G99-D99)</f>
        <v/>
      </c>
      <c r="K99" s="37">
        <f>IFERROR(IF(OR(J99="",J99&lt;=0),"",(G99-D99)/(Settings!$B$8-D99)),"")</f>
        <v/>
      </c>
      <c r="L99" s="38">
        <f>IFERROR(IF(J99="","",(G99-D99)/(Settings!$B$17*SQRT(2))),"")</f>
        <v/>
      </c>
      <c r="M99" s="30">
        <f>IF(L99="","",IF(ABS(L99)&gt;=1.96,"Yes","No"))</f>
        <v/>
      </c>
      <c r="N99" s="30">
        <f>IF(J99="","",IF(J99&gt;=Settings!$B$15,"Yes","No"))</f>
        <v/>
      </c>
      <c r="O99" s="37">
        <f>IFERROR(IF($D99="","",SUMIF('Pre-Test Entry'!$C$3:$AQ$3,Settings!$A$28,'Pre-Test Entry'!$C99:$AQ99)/Settings!$C$28),"")</f>
        <v/>
      </c>
      <c r="P99" s="37">
        <f>IFERROR(IF($D99="","",SUMIF('Pre-Test Entry'!$C$3:$AQ$3,Settings!$A$29,'Pre-Test Entry'!$C99:$AQ99)/Settings!$C$29),"")</f>
        <v/>
      </c>
      <c r="Q99" s="37">
        <f>IFERROR(IF($D99="","",SUMIF('Pre-Test Entry'!$C$3:$AQ$3,Settings!$A$30,'Pre-Test Entry'!$C99:$AQ99)/Settings!$C$30),"")</f>
        <v/>
      </c>
      <c r="R99" s="37">
        <f>IFERROR(IF($D99="","",SUMIF('Pre-Test Entry'!$C$3:$AQ$3,Settings!$A$31,'Pre-Test Entry'!$C99:$AQ99)/Settings!$C$31),"")</f>
        <v/>
      </c>
      <c r="S99" s="37">
        <f>IFERROR(IF($D99="","",SUMIF('Pre-Test Entry'!$C$3:$AQ$3,Settings!$A$32,'Pre-Test Entry'!$C99:$AQ99)/Settings!$C$32),"")</f>
        <v/>
      </c>
      <c r="T99" s="37">
        <f>IFERROR(IF($D99="","",SUMIF('Pre-Test Entry'!$C$3:$AQ$3,Settings!$A$33,'Pre-Test Entry'!$C99:$AQ99)/Settings!$C$33),"")</f>
        <v/>
      </c>
      <c r="U99" s="37">
        <f>IFERROR(IF($D99="","",SUMIF('Pre-Test Entry'!$C$3:$AQ$3,Settings!$A$34,'Pre-Test Entry'!$C99:$AQ99)/Settings!$C$34),"")</f>
        <v/>
      </c>
      <c r="V99" s="37">
        <f>IFERROR(IF($G99="","",SUMIF('Post-Test Entry'!$C$3:$AQ$3,Settings!$A$28,'Post-Test Entry'!$C99:$AQ99)/Settings!$C$28),"")</f>
        <v/>
      </c>
      <c r="W99" s="37">
        <f>IFERROR(IF($G99="","",SUMIF('Post-Test Entry'!$C$3:$AQ$3,Settings!$A$29,'Post-Test Entry'!$C99:$AQ99)/Settings!$C$29),"")</f>
        <v/>
      </c>
      <c r="X99" s="37">
        <f>IFERROR(IF($G99="","",SUMIF('Post-Test Entry'!$C$3:$AQ$3,Settings!$A$30,'Post-Test Entry'!$C99:$AQ99)/Settings!$C$30),"")</f>
        <v/>
      </c>
      <c r="Y99" s="37">
        <f>IFERROR(IF($G99="","",SUMIF('Post-Test Entry'!$C$3:$AQ$3,Settings!$A$31,'Post-Test Entry'!$C99:$AQ99)/Settings!$C$31),"")</f>
        <v/>
      </c>
      <c r="Z99" s="37">
        <f>IFERROR(IF($G99="","",SUMIF('Post-Test Entry'!$C$3:$AQ$3,Settings!$A$32,'Post-Test Entry'!$C99:$AQ99)/Settings!$C$32),"")</f>
        <v/>
      </c>
      <c r="AA99" s="37">
        <f>IFERROR(IF($G99="","",SUMIF('Post-Test Entry'!$C$3:$AQ$3,Settings!$A$33,'Post-Test Entry'!$C99:$AQ99)/Settings!$C$33),"")</f>
        <v/>
      </c>
      <c r="AB99" s="37">
        <f>IFERROR(IF($G99="","",SUMIF('Post-Test Entry'!$C$3:$AQ$3,Settings!$A$34,'Post-Test Entry'!$C99:$AQ99)/Settings!$C$34),"")</f>
        <v/>
      </c>
      <c r="AC99" s="37">
        <f>IF(OR(O99="",V99=""),"",V99-O99)</f>
        <v/>
      </c>
      <c r="AD99" s="37">
        <f>IF(OR(P99="",W99=""),"",W99-P99)</f>
        <v/>
      </c>
      <c r="AE99" s="37">
        <f>IF(OR(Q99="",X99=""),"",X99-Q99)</f>
        <v/>
      </c>
      <c r="AF99" s="37">
        <f>IF(OR(R99="",Y99=""),"",Y99-R99)</f>
        <v/>
      </c>
      <c r="AG99" s="37">
        <f>IF(OR(S99="",Z99=""),"",Z99-S99)</f>
        <v/>
      </c>
      <c r="AH99" s="37">
        <f>IF(OR(T99="",AA99=""),"",AA99-T99)</f>
        <v/>
      </c>
      <c r="AI99" s="37">
        <f>IF(OR(U99="",AB99=""),"",AB99-U99)</f>
        <v/>
      </c>
      <c r="AJ99" s="30">
        <f>IFERROR(IF($G99&lt;&gt;"",INDEX($V$4:$AB$4,MATCH(MIN($V99:$AB99),$V99:$AB99,0)),IF($D99&lt;&gt;"",INDEX($O$4:$U$4,MATCH(MIN($O99:$U99),$O99:$U99,0)),"")),"")</f>
        <v/>
      </c>
      <c r="AK99" s="30">
        <f>IFERROR(IF($G99&lt;&gt;"",INDEX($V$4:$AB$4,MATCH(SMALL($V99:$AB99,2),$V99:$AB99,0)),IF($D99&lt;&gt;"",INDEX($O$4:$U$4,MATCH(SMALL($O99:$U99,2),$O99:$U99,0)),"")),"")</f>
        <v/>
      </c>
      <c r="AL99" s="30">
        <f>IF(OR(G99="",Settings!$B$17=""),"",IF(OR(ABS(G99-Settings!$B$5)&lt;=Settings!$B$17,ABS(G99-Settings!$B$6)&lt;=Settings!$B$17,ABS(G99-Settings!$B$7)&lt;=Settings!$B$17),"NEAR CUT",""))</f>
        <v/>
      </c>
      <c r="AM99" s="31">
        <f>IF('Post-Test Entry'!$AR99&lt;&gt;"","Post essay: code "&amp;'Post-Test Entry'!$AR99,IF('Pre-Test Entry'!$AR99&lt;&gt;"","Pre essay: code "&amp;'Pre-Test Entry'!$AR99,""))</f>
        <v/>
      </c>
      <c r="AN99" s="39">
        <f>IFERROR(IF($AJ99="","",INDEX(Settings!$D$28:$D$34,MATCH($AJ99,Settings!$A$28:$A$34,0))),"")</f>
        <v/>
      </c>
      <c r="AP99">
        <f>IF(D99="","",D99^2)</f>
        <v/>
      </c>
      <c r="AQ99">
        <f>IF(G99="","",G99^2)</f>
        <v/>
      </c>
    </row>
    <row r="100">
      <c r="A100" s="30">
        <f>IF(Roster!$A100="","",Roster!$A100)</f>
        <v/>
      </c>
      <c r="B100" s="31">
        <f>IF(Roster!$B100&lt;&gt;"",Roster!$C100&amp;" "&amp;Roster!$B100,"")</f>
        <v/>
      </c>
      <c r="C100" s="30">
        <f>IF(Roster!$B100&lt;&gt;"",Roster!$D100,"")</f>
        <v/>
      </c>
      <c r="D100" s="16">
        <f>IF(AND(Roster!$B100&lt;&gt;"",COUNT('Pre-Test Entry'!$C100:$AQ100)&gt;0),'Pre-Test Entry'!$AS100,"")</f>
        <v/>
      </c>
      <c r="E100" s="37">
        <f>IFERROR(D100/Settings!$B$8,"")</f>
        <v/>
      </c>
      <c r="F100" s="31">
        <f>IF(D100="","",IF(D100&gt;=Settings!$B$7,"Distinguished Learner",IF(D100&gt;=Settings!$B$6,"Proficient Learner",IF(D100&gt;=Settings!$B$5,"Developing Learner","Beginning Learner"))))</f>
        <v/>
      </c>
      <c r="G100" s="16">
        <f>IF(AND(Roster!$B100&lt;&gt;"",COUNT('Post-Test Entry'!$C100:$AQ100)&gt;0),'Post-Test Entry'!$AS100,"")</f>
        <v/>
      </c>
      <c r="H100" s="37">
        <f>IFERROR(G100/Settings!$B$8,"")</f>
        <v/>
      </c>
      <c r="I100" s="31">
        <f>IF(G100="","",IF(G100&gt;=Settings!$B$7,"Distinguished Learner",IF(G100&gt;=Settings!$B$6,"Proficient Learner",IF(G100&gt;=Settings!$B$5,"Developing Learner","Beginning Learner"))))</f>
        <v/>
      </c>
      <c r="J100" s="16">
        <f>IF(OR(D100="",G100=""),"",G100-D100)</f>
        <v/>
      </c>
      <c r="K100" s="37">
        <f>IFERROR(IF(OR(J100="",J100&lt;=0),"",(G100-D100)/(Settings!$B$8-D100)),"")</f>
        <v/>
      </c>
      <c r="L100" s="38">
        <f>IFERROR(IF(J100="","",(G100-D100)/(Settings!$B$17*SQRT(2))),"")</f>
        <v/>
      </c>
      <c r="M100" s="30">
        <f>IF(L100="","",IF(ABS(L100)&gt;=1.96,"Yes","No"))</f>
        <v/>
      </c>
      <c r="N100" s="30">
        <f>IF(J100="","",IF(J100&gt;=Settings!$B$15,"Yes","No"))</f>
        <v/>
      </c>
      <c r="O100" s="37">
        <f>IFERROR(IF($D100="","",SUMIF('Pre-Test Entry'!$C$3:$AQ$3,Settings!$A$28,'Pre-Test Entry'!$C100:$AQ100)/Settings!$C$28),"")</f>
        <v/>
      </c>
      <c r="P100" s="37">
        <f>IFERROR(IF($D100="","",SUMIF('Pre-Test Entry'!$C$3:$AQ$3,Settings!$A$29,'Pre-Test Entry'!$C100:$AQ100)/Settings!$C$29),"")</f>
        <v/>
      </c>
      <c r="Q100" s="37">
        <f>IFERROR(IF($D100="","",SUMIF('Pre-Test Entry'!$C$3:$AQ$3,Settings!$A$30,'Pre-Test Entry'!$C100:$AQ100)/Settings!$C$30),"")</f>
        <v/>
      </c>
      <c r="R100" s="37">
        <f>IFERROR(IF($D100="","",SUMIF('Pre-Test Entry'!$C$3:$AQ$3,Settings!$A$31,'Pre-Test Entry'!$C100:$AQ100)/Settings!$C$31),"")</f>
        <v/>
      </c>
      <c r="S100" s="37">
        <f>IFERROR(IF($D100="","",SUMIF('Pre-Test Entry'!$C$3:$AQ$3,Settings!$A$32,'Pre-Test Entry'!$C100:$AQ100)/Settings!$C$32),"")</f>
        <v/>
      </c>
      <c r="T100" s="37">
        <f>IFERROR(IF($D100="","",SUMIF('Pre-Test Entry'!$C$3:$AQ$3,Settings!$A$33,'Pre-Test Entry'!$C100:$AQ100)/Settings!$C$33),"")</f>
        <v/>
      </c>
      <c r="U100" s="37">
        <f>IFERROR(IF($D100="","",SUMIF('Pre-Test Entry'!$C$3:$AQ$3,Settings!$A$34,'Pre-Test Entry'!$C100:$AQ100)/Settings!$C$34),"")</f>
        <v/>
      </c>
      <c r="V100" s="37">
        <f>IFERROR(IF($G100="","",SUMIF('Post-Test Entry'!$C$3:$AQ$3,Settings!$A$28,'Post-Test Entry'!$C100:$AQ100)/Settings!$C$28),"")</f>
        <v/>
      </c>
      <c r="W100" s="37">
        <f>IFERROR(IF($G100="","",SUMIF('Post-Test Entry'!$C$3:$AQ$3,Settings!$A$29,'Post-Test Entry'!$C100:$AQ100)/Settings!$C$29),"")</f>
        <v/>
      </c>
      <c r="X100" s="37">
        <f>IFERROR(IF($G100="","",SUMIF('Post-Test Entry'!$C$3:$AQ$3,Settings!$A$30,'Post-Test Entry'!$C100:$AQ100)/Settings!$C$30),"")</f>
        <v/>
      </c>
      <c r="Y100" s="37">
        <f>IFERROR(IF($G100="","",SUMIF('Post-Test Entry'!$C$3:$AQ$3,Settings!$A$31,'Post-Test Entry'!$C100:$AQ100)/Settings!$C$31),"")</f>
        <v/>
      </c>
      <c r="Z100" s="37">
        <f>IFERROR(IF($G100="","",SUMIF('Post-Test Entry'!$C$3:$AQ$3,Settings!$A$32,'Post-Test Entry'!$C100:$AQ100)/Settings!$C$32),"")</f>
        <v/>
      </c>
      <c r="AA100" s="37">
        <f>IFERROR(IF($G100="","",SUMIF('Post-Test Entry'!$C$3:$AQ$3,Settings!$A$33,'Post-Test Entry'!$C100:$AQ100)/Settings!$C$33),"")</f>
        <v/>
      </c>
      <c r="AB100" s="37">
        <f>IFERROR(IF($G100="","",SUMIF('Post-Test Entry'!$C$3:$AQ$3,Settings!$A$34,'Post-Test Entry'!$C100:$AQ100)/Settings!$C$34),"")</f>
        <v/>
      </c>
      <c r="AC100" s="37">
        <f>IF(OR(O100="",V100=""),"",V100-O100)</f>
        <v/>
      </c>
      <c r="AD100" s="37">
        <f>IF(OR(P100="",W100=""),"",W100-P100)</f>
        <v/>
      </c>
      <c r="AE100" s="37">
        <f>IF(OR(Q100="",X100=""),"",X100-Q100)</f>
        <v/>
      </c>
      <c r="AF100" s="37">
        <f>IF(OR(R100="",Y100=""),"",Y100-R100)</f>
        <v/>
      </c>
      <c r="AG100" s="37">
        <f>IF(OR(S100="",Z100=""),"",Z100-S100)</f>
        <v/>
      </c>
      <c r="AH100" s="37">
        <f>IF(OR(T100="",AA100=""),"",AA100-T100)</f>
        <v/>
      </c>
      <c r="AI100" s="37">
        <f>IF(OR(U100="",AB100=""),"",AB100-U100)</f>
        <v/>
      </c>
      <c r="AJ100" s="30">
        <f>IFERROR(IF($G100&lt;&gt;"",INDEX($V$4:$AB$4,MATCH(MIN($V100:$AB100),$V100:$AB100,0)),IF($D100&lt;&gt;"",INDEX($O$4:$U$4,MATCH(MIN($O100:$U100),$O100:$U100,0)),"")),"")</f>
        <v/>
      </c>
      <c r="AK100" s="30">
        <f>IFERROR(IF($G100&lt;&gt;"",INDEX($V$4:$AB$4,MATCH(SMALL($V100:$AB100,2),$V100:$AB100,0)),IF($D100&lt;&gt;"",INDEX($O$4:$U$4,MATCH(SMALL($O100:$U100,2),$O100:$U100,0)),"")),"")</f>
        <v/>
      </c>
      <c r="AL100" s="30">
        <f>IF(OR(G100="",Settings!$B$17=""),"",IF(OR(ABS(G100-Settings!$B$5)&lt;=Settings!$B$17,ABS(G100-Settings!$B$6)&lt;=Settings!$B$17,ABS(G100-Settings!$B$7)&lt;=Settings!$B$17),"NEAR CUT",""))</f>
        <v/>
      </c>
      <c r="AM100" s="31">
        <f>IF('Post-Test Entry'!$AR100&lt;&gt;"","Post essay: code "&amp;'Post-Test Entry'!$AR100,IF('Pre-Test Entry'!$AR100&lt;&gt;"","Pre essay: code "&amp;'Pre-Test Entry'!$AR100,""))</f>
        <v/>
      </c>
      <c r="AN100" s="39">
        <f>IFERROR(IF($AJ100="","",INDEX(Settings!$D$28:$D$34,MATCH($AJ100,Settings!$A$28:$A$34,0))),"")</f>
        <v/>
      </c>
      <c r="AP100">
        <f>IF(D100="","",D100^2)</f>
        <v/>
      </c>
      <c r="AQ100">
        <f>IF(G100="","",G100^2)</f>
        <v/>
      </c>
    </row>
    <row r="101">
      <c r="A101" s="30">
        <f>IF(Roster!$A101="","",Roster!$A101)</f>
        <v/>
      </c>
      <c r="B101" s="31">
        <f>IF(Roster!$B101&lt;&gt;"",Roster!$C101&amp;" "&amp;Roster!$B101,"")</f>
        <v/>
      </c>
      <c r="C101" s="30">
        <f>IF(Roster!$B101&lt;&gt;"",Roster!$D101,"")</f>
        <v/>
      </c>
      <c r="D101" s="16">
        <f>IF(AND(Roster!$B101&lt;&gt;"",COUNT('Pre-Test Entry'!$C101:$AQ101)&gt;0),'Pre-Test Entry'!$AS101,"")</f>
        <v/>
      </c>
      <c r="E101" s="37">
        <f>IFERROR(D101/Settings!$B$8,"")</f>
        <v/>
      </c>
      <c r="F101" s="31">
        <f>IF(D101="","",IF(D101&gt;=Settings!$B$7,"Distinguished Learner",IF(D101&gt;=Settings!$B$6,"Proficient Learner",IF(D101&gt;=Settings!$B$5,"Developing Learner","Beginning Learner"))))</f>
        <v/>
      </c>
      <c r="G101" s="16">
        <f>IF(AND(Roster!$B101&lt;&gt;"",COUNT('Post-Test Entry'!$C101:$AQ101)&gt;0),'Post-Test Entry'!$AS101,"")</f>
        <v/>
      </c>
      <c r="H101" s="37">
        <f>IFERROR(G101/Settings!$B$8,"")</f>
        <v/>
      </c>
      <c r="I101" s="31">
        <f>IF(G101="","",IF(G101&gt;=Settings!$B$7,"Distinguished Learner",IF(G101&gt;=Settings!$B$6,"Proficient Learner",IF(G101&gt;=Settings!$B$5,"Developing Learner","Beginning Learner"))))</f>
        <v/>
      </c>
      <c r="J101" s="16">
        <f>IF(OR(D101="",G101=""),"",G101-D101)</f>
        <v/>
      </c>
      <c r="K101" s="37">
        <f>IFERROR(IF(OR(J101="",J101&lt;=0),"",(G101-D101)/(Settings!$B$8-D101)),"")</f>
        <v/>
      </c>
      <c r="L101" s="38">
        <f>IFERROR(IF(J101="","",(G101-D101)/(Settings!$B$17*SQRT(2))),"")</f>
        <v/>
      </c>
      <c r="M101" s="30">
        <f>IF(L101="","",IF(ABS(L101)&gt;=1.96,"Yes","No"))</f>
        <v/>
      </c>
      <c r="N101" s="30">
        <f>IF(J101="","",IF(J101&gt;=Settings!$B$15,"Yes","No"))</f>
        <v/>
      </c>
      <c r="O101" s="37">
        <f>IFERROR(IF($D101="","",SUMIF('Pre-Test Entry'!$C$3:$AQ$3,Settings!$A$28,'Pre-Test Entry'!$C101:$AQ101)/Settings!$C$28),"")</f>
        <v/>
      </c>
      <c r="P101" s="37">
        <f>IFERROR(IF($D101="","",SUMIF('Pre-Test Entry'!$C$3:$AQ$3,Settings!$A$29,'Pre-Test Entry'!$C101:$AQ101)/Settings!$C$29),"")</f>
        <v/>
      </c>
      <c r="Q101" s="37">
        <f>IFERROR(IF($D101="","",SUMIF('Pre-Test Entry'!$C$3:$AQ$3,Settings!$A$30,'Pre-Test Entry'!$C101:$AQ101)/Settings!$C$30),"")</f>
        <v/>
      </c>
      <c r="R101" s="37">
        <f>IFERROR(IF($D101="","",SUMIF('Pre-Test Entry'!$C$3:$AQ$3,Settings!$A$31,'Pre-Test Entry'!$C101:$AQ101)/Settings!$C$31),"")</f>
        <v/>
      </c>
      <c r="S101" s="37">
        <f>IFERROR(IF($D101="","",SUMIF('Pre-Test Entry'!$C$3:$AQ$3,Settings!$A$32,'Pre-Test Entry'!$C101:$AQ101)/Settings!$C$32),"")</f>
        <v/>
      </c>
      <c r="T101" s="37">
        <f>IFERROR(IF($D101="","",SUMIF('Pre-Test Entry'!$C$3:$AQ$3,Settings!$A$33,'Pre-Test Entry'!$C101:$AQ101)/Settings!$C$33),"")</f>
        <v/>
      </c>
      <c r="U101" s="37">
        <f>IFERROR(IF($D101="","",SUMIF('Pre-Test Entry'!$C$3:$AQ$3,Settings!$A$34,'Pre-Test Entry'!$C101:$AQ101)/Settings!$C$34),"")</f>
        <v/>
      </c>
      <c r="V101" s="37">
        <f>IFERROR(IF($G101="","",SUMIF('Post-Test Entry'!$C$3:$AQ$3,Settings!$A$28,'Post-Test Entry'!$C101:$AQ101)/Settings!$C$28),"")</f>
        <v/>
      </c>
      <c r="W101" s="37">
        <f>IFERROR(IF($G101="","",SUMIF('Post-Test Entry'!$C$3:$AQ$3,Settings!$A$29,'Post-Test Entry'!$C101:$AQ101)/Settings!$C$29),"")</f>
        <v/>
      </c>
      <c r="X101" s="37">
        <f>IFERROR(IF($G101="","",SUMIF('Post-Test Entry'!$C$3:$AQ$3,Settings!$A$30,'Post-Test Entry'!$C101:$AQ101)/Settings!$C$30),"")</f>
        <v/>
      </c>
      <c r="Y101" s="37">
        <f>IFERROR(IF($G101="","",SUMIF('Post-Test Entry'!$C$3:$AQ$3,Settings!$A$31,'Post-Test Entry'!$C101:$AQ101)/Settings!$C$31),"")</f>
        <v/>
      </c>
      <c r="Z101" s="37">
        <f>IFERROR(IF($G101="","",SUMIF('Post-Test Entry'!$C$3:$AQ$3,Settings!$A$32,'Post-Test Entry'!$C101:$AQ101)/Settings!$C$32),"")</f>
        <v/>
      </c>
      <c r="AA101" s="37">
        <f>IFERROR(IF($G101="","",SUMIF('Post-Test Entry'!$C$3:$AQ$3,Settings!$A$33,'Post-Test Entry'!$C101:$AQ101)/Settings!$C$33),"")</f>
        <v/>
      </c>
      <c r="AB101" s="37">
        <f>IFERROR(IF($G101="","",SUMIF('Post-Test Entry'!$C$3:$AQ$3,Settings!$A$34,'Post-Test Entry'!$C101:$AQ101)/Settings!$C$34),"")</f>
        <v/>
      </c>
      <c r="AC101" s="37">
        <f>IF(OR(O101="",V101=""),"",V101-O101)</f>
        <v/>
      </c>
      <c r="AD101" s="37">
        <f>IF(OR(P101="",W101=""),"",W101-P101)</f>
        <v/>
      </c>
      <c r="AE101" s="37">
        <f>IF(OR(Q101="",X101=""),"",X101-Q101)</f>
        <v/>
      </c>
      <c r="AF101" s="37">
        <f>IF(OR(R101="",Y101=""),"",Y101-R101)</f>
        <v/>
      </c>
      <c r="AG101" s="37">
        <f>IF(OR(S101="",Z101=""),"",Z101-S101)</f>
        <v/>
      </c>
      <c r="AH101" s="37">
        <f>IF(OR(T101="",AA101=""),"",AA101-T101)</f>
        <v/>
      </c>
      <c r="AI101" s="37">
        <f>IF(OR(U101="",AB101=""),"",AB101-U101)</f>
        <v/>
      </c>
      <c r="AJ101" s="30">
        <f>IFERROR(IF($G101&lt;&gt;"",INDEX($V$4:$AB$4,MATCH(MIN($V101:$AB101),$V101:$AB101,0)),IF($D101&lt;&gt;"",INDEX($O$4:$U$4,MATCH(MIN($O101:$U101),$O101:$U101,0)),"")),"")</f>
        <v/>
      </c>
      <c r="AK101" s="30">
        <f>IFERROR(IF($G101&lt;&gt;"",INDEX($V$4:$AB$4,MATCH(SMALL($V101:$AB101,2),$V101:$AB101,0)),IF($D101&lt;&gt;"",INDEX($O$4:$U$4,MATCH(SMALL($O101:$U101,2),$O101:$U101,0)),"")),"")</f>
        <v/>
      </c>
      <c r="AL101" s="30">
        <f>IF(OR(G101="",Settings!$B$17=""),"",IF(OR(ABS(G101-Settings!$B$5)&lt;=Settings!$B$17,ABS(G101-Settings!$B$6)&lt;=Settings!$B$17,ABS(G101-Settings!$B$7)&lt;=Settings!$B$17),"NEAR CUT",""))</f>
        <v/>
      </c>
      <c r="AM101" s="31">
        <f>IF('Post-Test Entry'!$AR101&lt;&gt;"","Post essay: code "&amp;'Post-Test Entry'!$AR101,IF('Pre-Test Entry'!$AR101&lt;&gt;"","Pre essay: code "&amp;'Pre-Test Entry'!$AR101,""))</f>
        <v/>
      </c>
      <c r="AN101" s="39">
        <f>IFERROR(IF($AJ101="","",INDEX(Settings!$D$28:$D$34,MATCH($AJ101,Settings!$A$28:$A$34,0))),"")</f>
        <v/>
      </c>
      <c r="AP101">
        <f>IF(D101="","",D101^2)</f>
        <v/>
      </c>
      <c r="AQ101">
        <f>IF(G101="","",G101^2)</f>
        <v/>
      </c>
    </row>
    <row r="102">
      <c r="A102" s="30">
        <f>IF(Roster!$A102="","",Roster!$A102)</f>
        <v/>
      </c>
      <c r="B102" s="31">
        <f>IF(Roster!$B102&lt;&gt;"",Roster!$C102&amp;" "&amp;Roster!$B102,"")</f>
        <v/>
      </c>
      <c r="C102" s="30">
        <f>IF(Roster!$B102&lt;&gt;"",Roster!$D102,"")</f>
        <v/>
      </c>
      <c r="D102" s="16">
        <f>IF(AND(Roster!$B102&lt;&gt;"",COUNT('Pre-Test Entry'!$C102:$AQ102)&gt;0),'Pre-Test Entry'!$AS102,"")</f>
        <v/>
      </c>
      <c r="E102" s="37">
        <f>IFERROR(D102/Settings!$B$8,"")</f>
        <v/>
      </c>
      <c r="F102" s="31">
        <f>IF(D102="","",IF(D102&gt;=Settings!$B$7,"Distinguished Learner",IF(D102&gt;=Settings!$B$6,"Proficient Learner",IF(D102&gt;=Settings!$B$5,"Developing Learner","Beginning Learner"))))</f>
        <v/>
      </c>
      <c r="G102" s="16">
        <f>IF(AND(Roster!$B102&lt;&gt;"",COUNT('Post-Test Entry'!$C102:$AQ102)&gt;0),'Post-Test Entry'!$AS102,"")</f>
        <v/>
      </c>
      <c r="H102" s="37">
        <f>IFERROR(G102/Settings!$B$8,"")</f>
        <v/>
      </c>
      <c r="I102" s="31">
        <f>IF(G102="","",IF(G102&gt;=Settings!$B$7,"Distinguished Learner",IF(G102&gt;=Settings!$B$6,"Proficient Learner",IF(G102&gt;=Settings!$B$5,"Developing Learner","Beginning Learner"))))</f>
        <v/>
      </c>
      <c r="J102" s="16">
        <f>IF(OR(D102="",G102=""),"",G102-D102)</f>
        <v/>
      </c>
      <c r="K102" s="37">
        <f>IFERROR(IF(OR(J102="",J102&lt;=0),"",(G102-D102)/(Settings!$B$8-D102)),"")</f>
        <v/>
      </c>
      <c r="L102" s="38">
        <f>IFERROR(IF(J102="","",(G102-D102)/(Settings!$B$17*SQRT(2))),"")</f>
        <v/>
      </c>
      <c r="M102" s="30">
        <f>IF(L102="","",IF(ABS(L102)&gt;=1.96,"Yes","No"))</f>
        <v/>
      </c>
      <c r="N102" s="30">
        <f>IF(J102="","",IF(J102&gt;=Settings!$B$15,"Yes","No"))</f>
        <v/>
      </c>
      <c r="O102" s="37">
        <f>IFERROR(IF($D102="","",SUMIF('Pre-Test Entry'!$C$3:$AQ$3,Settings!$A$28,'Pre-Test Entry'!$C102:$AQ102)/Settings!$C$28),"")</f>
        <v/>
      </c>
      <c r="P102" s="37">
        <f>IFERROR(IF($D102="","",SUMIF('Pre-Test Entry'!$C$3:$AQ$3,Settings!$A$29,'Pre-Test Entry'!$C102:$AQ102)/Settings!$C$29),"")</f>
        <v/>
      </c>
      <c r="Q102" s="37">
        <f>IFERROR(IF($D102="","",SUMIF('Pre-Test Entry'!$C$3:$AQ$3,Settings!$A$30,'Pre-Test Entry'!$C102:$AQ102)/Settings!$C$30),"")</f>
        <v/>
      </c>
      <c r="R102" s="37">
        <f>IFERROR(IF($D102="","",SUMIF('Pre-Test Entry'!$C$3:$AQ$3,Settings!$A$31,'Pre-Test Entry'!$C102:$AQ102)/Settings!$C$31),"")</f>
        <v/>
      </c>
      <c r="S102" s="37">
        <f>IFERROR(IF($D102="","",SUMIF('Pre-Test Entry'!$C$3:$AQ$3,Settings!$A$32,'Pre-Test Entry'!$C102:$AQ102)/Settings!$C$32),"")</f>
        <v/>
      </c>
      <c r="T102" s="37">
        <f>IFERROR(IF($D102="","",SUMIF('Pre-Test Entry'!$C$3:$AQ$3,Settings!$A$33,'Pre-Test Entry'!$C102:$AQ102)/Settings!$C$33),"")</f>
        <v/>
      </c>
      <c r="U102" s="37">
        <f>IFERROR(IF($D102="","",SUMIF('Pre-Test Entry'!$C$3:$AQ$3,Settings!$A$34,'Pre-Test Entry'!$C102:$AQ102)/Settings!$C$34),"")</f>
        <v/>
      </c>
      <c r="V102" s="37">
        <f>IFERROR(IF($G102="","",SUMIF('Post-Test Entry'!$C$3:$AQ$3,Settings!$A$28,'Post-Test Entry'!$C102:$AQ102)/Settings!$C$28),"")</f>
        <v/>
      </c>
      <c r="W102" s="37">
        <f>IFERROR(IF($G102="","",SUMIF('Post-Test Entry'!$C$3:$AQ$3,Settings!$A$29,'Post-Test Entry'!$C102:$AQ102)/Settings!$C$29),"")</f>
        <v/>
      </c>
      <c r="X102" s="37">
        <f>IFERROR(IF($G102="","",SUMIF('Post-Test Entry'!$C$3:$AQ$3,Settings!$A$30,'Post-Test Entry'!$C102:$AQ102)/Settings!$C$30),"")</f>
        <v/>
      </c>
      <c r="Y102" s="37">
        <f>IFERROR(IF($G102="","",SUMIF('Post-Test Entry'!$C$3:$AQ$3,Settings!$A$31,'Post-Test Entry'!$C102:$AQ102)/Settings!$C$31),"")</f>
        <v/>
      </c>
      <c r="Z102" s="37">
        <f>IFERROR(IF($G102="","",SUMIF('Post-Test Entry'!$C$3:$AQ$3,Settings!$A$32,'Post-Test Entry'!$C102:$AQ102)/Settings!$C$32),"")</f>
        <v/>
      </c>
      <c r="AA102" s="37">
        <f>IFERROR(IF($G102="","",SUMIF('Post-Test Entry'!$C$3:$AQ$3,Settings!$A$33,'Post-Test Entry'!$C102:$AQ102)/Settings!$C$33),"")</f>
        <v/>
      </c>
      <c r="AB102" s="37">
        <f>IFERROR(IF($G102="","",SUMIF('Post-Test Entry'!$C$3:$AQ$3,Settings!$A$34,'Post-Test Entry'!$C102:$AQ102)/Settings!$C$34),"")</f>
        <v/>
      </c>
      <c r="AC102" s="37">
        <f>IF(OR(O102="",V102=""),"",V102-O102)</f>
        <v/>
      </c>
      <c r="AD102" s="37">
        <f>IF(OR(P102="",W102=""),"",W102-P102)</f>
        <v/>
      </c>
      <c r="AE102" s="37">
        <f>IF(OR(Q102="",X102=""),"",X102-Q102)</f>
        <v/>
      </c>
      <c r="AF102" s="37">
        <f>IF(OR(R102="",Y102=""),"",Y102-R102)</f>
        <v/>
      </c>
      <c r="AG102" s="37">
        <f>IF(OR(S102="",Z102=""),"",Z102-S102)</f>
        <v/>
      </c>
      <c r="AH102" s="37">
        <f>IF(OR(T102="",AA102=""),"",AA102-T102)</f>
        <v/>
      </c>
      <c r="AI102" s="37">
        <f>IF(OR(U102="",AB102=""),"",AB102-U102)</f>
        <v/>
      </c>
      <c r="AJ102" s="30">
        <f>IFERROR(IF($G102&lt;&gt;"",INDEX($V$4:$AB$4,MATCH(MIN($V102:$AB102),$V102:$AB102,0)),IF($D102&lt;&gt;"",INDEX($O$4:$U$4,MATCH(MIN($O102:$U102),$O102:$U102,0)),"")),"")</f>
        <v/>
      </c>
      <c r="AK102" s="30">
        <f>IFERROR(IF($G102&lt;&gt;"",INDEX($V$4:$AB$4,MATCH(SMALL($V102:$AB102,2),$V102:$AB102,0)),IF($D102&lt;&gt;"",INDEX($O$4:$U$4,MATCH(SMALL($O102:$U102,2),$O102:$U102,0)),"")),"")</f>
        <v/>
      </c>
      <c r="AL102" s="30">
        <f>IF(OR(G102="",Settings!$B$17=""),"",IF(OR(ABS(G102-Settings!$B$5)&lt;=Settings!$B$17,ABS(G102-Settings!$B$6)&lt;=Settings!$B$17,ABS(G102-Settings!$B$7)&lt;=Settings!$B$17),"NEAR CUT",""))</f>
        <v/>
      </c>
      <c r="AM102" s="31">
        <f>IF('Post-Test Entry'!$AR102&lt;&gt;"","Post essay: code "&amp;'Post-Test Entry'!$AR102,IF('Pre-Test Entry'!$AR102&lt;&gt;"","Pre essay: code "&amp;'Pre-Test Entry'!$AR102,""))</f>
        <v/>
      </c>
      <c r="AN102" s="39">
        <f>IFERROR(IF($AJ102="","",INDEX(Settings!$D$28:$D$34,MATCH($AJ102,Settings!$A$28:$A$34,0))),"")</f>
        <v/>
      </c>
      <c r="AP102">
        <f>IF(D102="","",D102^2)</f>
        <v/>
      </c>
      <c r="AQ102">
        <f>IF(G102="","",G102^2)</f>
        <v/>
      </c>
    </row>
    <row r="103">
      <c r="A103" s="30">
        <f>IF(Roster!$A103="","",Roster!$A103)</f>
        <v/>
      </c>
      <c r="B103" s="31">
        <f>IF(Roster!$B103&lt;&gt;"",Roster!$C103&amp;" "&amp;Roster!$B103,"")</f>
        <v/>
      </c>
      <c r="C103" s="30">
        <f>IF(Roster!$B103&lt;&gt;"",Roster!$D103,"")</f>
        <v/>
      </c>
      <c r="D103" s="16">
        <f>IF(AND(Roster!$B103&lt;&gt;"",COUNT('Pre-Test Entry'!$C103:$AQ103)&gt;0),'Pre-Test Entry'!$AS103,"")</f>
        <v/>
      </c>
      <c r="E103" s="37">
        <f>IFERROR(D103/Settings!$B$8,"")</f>
        <v/>
      </c>
      <c r="F103" s="31">
        <f>IF(D103="","",IF(D103&gt;=Settings!$B$7,"Distinguished Learner",IF(D103&gt;=Settings!$B$6,"Proficient Learner",IF(D103&gt;=Settings!$B$5,"Developing Learner","Beginning Learner"))))</f>
        <v/>
      </c>
      <c r="G103" s="16">
        <f>IF(AND(Roster!$B103&lt;&gt;"",COUNT('Post-Test Entry'!$C103:$AQ103)&gt;0),'Post-Test Entry'!$AS103,"")</f>
        <v/>
      </c>
      <c r="H103" s="37">
        <f>IFERROR(G103/Settings!$B$8,"")</f>
        <v/>
      </c>
      <c r="I103" s="31">
        <f>IF(G103="","",IF(G103&gt;=Settings!$B$7,"Distinguished Learner",IF(G103&gt;=Settings!$B$6,"Proficient Learner",IF(G103&gt;=Settings!$B$5,"Developing Learner","Beginning Learner"))))</f>
        <v/>
      </c>
      <c r="J103" s="16">
        <f>IF(OR(D103="",G103=""),"",G103-D103)</f>
        <v/>
      </c>
      <c r="K103" s="37">
        <f>IFERROR(IF(OR(J103="",J103&lt;=0),"",(G103-D103)/(Settings!$B$8-D103)),"")</f>
        <v/>
      </c>
      <c r="L103" s="38">
        <f>IFERROR(IF(J103="","",(G103-D103)/(Settings!$B$17*SQRT(2))),"")</f>
        <v/>
      </c>
      <c r="M103" s="30">
        <f>IF(L103="","",IF(ABS(L103)&gt;=1.96,"Yes","No"))</f>
        <v/>
      </c>
      <c r="N103" s="30">
        <f>IF(J103="","",IF(J103&gt;=Settings!$B$15,"Yes","No"))</f>
        <v/>
      </c>
      <c r="O103" s="37">
        <f>IFERROR(IF($D103="","",SUMIF('Pre-Test Entry'!$C$3:$AQ$3,Settings!$A$28,'Pre-Test Entry'!$C103:$AQ103)/Settings!$C$28),"")</f>
        <v/>
      </c>
      <c r="P103" s="37">
        <f>IFERROR(IF($D103="","",SUMIF('Pre-Test Entry'!$C$3:$AQ$3,Settings!$A$29,'Pre-Test Entry'!$C103:$AQ103)/Settings!$C$29),"")</f>
        <v/>
      </c>
      <c r="Q103" s="37">
        <f>IFERROR(IF($D103="","",SUMIF('Pre-Test Entry'!$C$3:$AQ$3,Settings!$A$30,'Pre-Test Entry'!$C103:$AQ103)/Settings!$C$30),"")</f>
        <v/>
      </c>
      <c r="R103" s="37">
        <f>IFERROR(IF($D103="","",SUMIF('Pre-Test Entry'!$C$3:$AQ$3,Settings!$A$31,'Pre-Test Entry'!$C103:$AQ103)/Settings!$C$31),"")</f>
        <v/>
      </c>
      <c r="S103" s="37">
        <f>IFERROR(IF($D103="","",SUMIF('Pre-Test Entry'!$C$3:$AQ$3,Settings!$A$32,'Pre-Test Entry'!$C103:$AQ103)/Settings!$C$32),"")</f>
        <v/>
      </c>
      <c r="T103" s="37">
        <f>IFERROR(IF($D103="","",SUMIF('Pre-Test Entry'!$C$3:$AQ$3,Settings!$A$33,'Pre-Test Entry'!$C103:$AQ103)/Settings!$C$33),"")</f>
        <v/>
      </c>
      <c r="U103" s="37">
        <f>IFERROR(IF($D103="","",SUMIF('Pre-Test Entry'!$C$3:$AQ$3,Settings!$A$34,'Pre-Test Entry'!$C103:$AQ103)/Settings!$C$34),"")</f>
        <v/>
      </c>
      <c r="V103" s="37">
        <f>IFERROR(IF($G103="","",SUMIF('Post-Test Entry'!$C$3:$AQ$3,Settings!$A$28,'Post-Test Entry'!$C103:$AQ103)/Settings!$C$28),"")</f>
        <v/>
      </c>
      <c r="W103" s="37">
        <f>IFERROR(IF($G103="","",SUMIF('Post-Test Entry'!$C$3:$AQ$3,Settings!$A$29,'Post-Test Entry'!$C103:$AQ103)/Settings!$C$29),"")</f>
        <v/>
      </c>
      <c r="X103" s="37">
        <f>IFERROR(IF($G103="","",SUMIF('Post-Test Entry'!$C$3:$AQ$3,Settings!$A$30,'Post-Test Entry'!$C103:$AQ103)/Settings!$C$30),"")</f>
        <v/>
      </c>
      <c r="Y103" s="37">
        <f>IFERROR(IF($G103="","",SUMIF('Post-Test Entry'!$C$3:$AQ$3,Settings!$A$31,'Post-Test Entry'!$C103:$AQ103)/Settings!$C$31),"")</f>
        <v/>
      </c>
      <c r="Z103" s="37">
        <f>IFERROR(IF($G103="","",SUMIF('Post-Test Entry'!$C$3:$AQ$3,Settings!$A$32,'Post-Test Entry'!$C103:$AQ103)/Settings!$C$32),"")</f>
        <v/>
      </c>
      <c r="AA103" s="37">
        <f>IFERROR(IF($G103="","",SUMIF('Post-Test Entry'!$C$3:$AQ$3,Settings!$A$33,'Post-Test Entry'!$C103:$AQ103)/Settings!$C$33),"")</f>
        <v/>
      </c>
      <c r="AB103" s="37">
        <f>IFERROR(IF($G103="","",SUMIF('Post-Test Entry'!$C$3:$AQ$3,Settings!$A$34,'Post-Test Entry'!$C103:$AQ103)/Settings!$C$34),"")</f>
        <v/>
      </c>
      <c r="AC103" s="37">
        <f>IF(OR(O103="",V103=""),"",V103-O103)</f>
        <v/>
      </c>
      <c r="AD103" s="37">
        <f>IF(OR(P103="",W103=""),"",W103-P103)</f>
        <v/>
      </c>
      <c r="AE103" s="37">
        <f>IF(OR(Q103="",X103=""),"",X103-Q103)</f>
        <v/>
      </c>
      <c r="AF103" s="37">
        <f>IF(OR(R103="",Y103=""),"",Y103-R103)</f>
        <v/>
      </c>
      <c r="AG103" s="37">
        <f>IF(OR(S103="",Z103=""),"",Z103-S103)</f>
        <v/>
      </c>
      <c r="AH103" s="37">
        <f>IF(OR(T103="",AA103=""),"",AA103-T103)</f>
        <v/>
      </c>
      <c r="AI103" s="37">
        <f>IF(OR(U103="",AB103=""),"",AB103-U103)</f>
        <v/>
      </c>
      <c r="AJ103" s="30">
        <f>IFERROR(IF($G103&lt;&gt;"",INDEX($V$4:$AB$4,MATCH(MIN($V103:$AB103),$V103:$AB103,0)),IF($D103&lt;&gt;"",INDEX($O$4:$U$4,MATCH(MIN($O103:$U103),$O103:$U103,0)),"")),"")</f>
        <v/>
      </c>
      <c r="AK103" s="30">
        <f>IFERROR(IF($G103&lt;&gt;"",INDEX($V$4:$AB$4,MATCH(SMALL($V103:$AB103,2),$V103:$AB103,0)),IF($D103&lt;&gt;"",INDEX($O$4:$U$4,MATCH(SMALL($O103:$U103,2),$O103:$U103,0)),"")),"")</f>
        <v/>
      </c>
      <c r="AL103" s="30">
        <f>IF(OR(G103="",Settings!$B$17=""),"",IF(OR(ABS(G103-Settings!$B$5)&lt;=Settings!$B$17,ABS(G103-Settings!$B$6)&lt;=Settings!$B$17,ABS(G103-Settings!$B$7)&lt;=Settings!$B$17),"NEAR CUT",""))</f>
        <v/>
      </c>
      <c r="AM103" s="31">
        <f>IF('Post-Test Entry'!$AR103&lt;&gt;"","Post essay: code "&amp;'Post-Test Entry'!$AR103,IF('Pre-Test Entry'!$AR103&lt;&gt;"","Pre essay: code "&amp;'Pre-Test Entry'!$AR103,""))</f>
        <v/>
      </c>
      <c r="AN103" s="39">
        <f>IFERROR(IF($AJ103="","",INDEX(Settings!$D$28:$D$34,MATCH($AJ103,Settings!$A$28:$A$34,0))),"")</f>
        <v/>
      </c>
      <c r="AP103">
        <f>IF(D103="","",D103^2)</f>
        <v/>
      </c>
      <c r="AQ103">
        <f>IF(G103="","",G103^2)</f>
        <v/>
      </c>
    </row>
    <row r="104">
      <c r="A104" s="30">
        <f>IF(Roster!$A104="","",Roster!$A104)</f>
        <v/>
      </c>
      <c r="B104" s="31">
        <f>IF(Roster!$B104&lt;&gt;"",Roster!$C104&amp;" "&amp;Roster!$B104,"")</f>
        <v/>
      </c>
      <c r="C104" s="30">
        <f>IF(Roster!$B104&lt;&gt;"",Roster!$D104,"")</f>
        <v/>
      </c>
      <c r="D104" s="16">
        <f>IF(AND(Roster!$B104&lt;&gt;"",COUNT('Pre-Test Entry'!$C104:$AQ104)&gt;0),'Pre-Test Entry'!$AS104,"")</f>
        <v/>
      </c>
      <c r="E104" s="37">
        <f>IFERROR(D104/Settings!$B$8,"")</f>
        <v/>
      </c>
      <c r="F104" s="31">
        <f>IF(D104="","",IF(D104&gt;=Settings!$B$7,"Distinguished Learner",IF(D104&gt;=Settings!$B$6,"Proficient Learner",IF(D104&gt;=Settings!$B$5,"Developing Learner","Beginning Learner"))))</f>
        <v/>
      </c>
      <c r="G104" s="16">
        <f>IF(AND(Roster!$B104&lt;&gt;"",COUNT('Post-Test Entry'!$C104:$AQ104)&gt;0),'Post-Test Entry'!$AS104,"")</f>
        <v/>
      </c>
      <c r="H104" s="37">
        <f>IFERROR(G104/Settings!$B$8,"")</f>
        <v/>
      </c>
      <c r="I104" s="31">
        <f>IF(G104="","",IF(G104&gt;=Settings!$B$7,"Distinguished Learner",IF(G104&gt;=Settings!$B$6,"Proficient Learner",IF(G104&gt;=Settings!$B$5,"Developing Learner","Beginning Learner"))))</f>
        <v/>
      </c>
      <c r="J104" s="16">
        <f>IF(OR(D104="",G104=""),"",G104-D104)</f>
        <v/>
      </c>
      <c r="K104" s="37">
        <f>IFERROR(IF(OR(J104="",J104&lt;=0),"",(G104-D104)/(Settings!$B$8-D104)),"")</f>
        <v/>
      </c>
      <c r="L104" s="38">
        <f>IFERROR(IF(J104="","",(G104-D104)/(Settings!$B$17*SQRT(2))),"")</f>
        <v/>
      </c>
      <c r="M104" s="30">
        <f>IF(L104="","",IF(ABS(L104)&gt;=1.96,"Yes","No"))</f>
        <v/>
      </c>
      <c r="N104" s="30">
        <f>IF(J104="","",IF(J104&gt;=Settings!$B$15,"Yes","No"))</f>
        <v/>
      </c>
      <c r="O104" s="37">
        <f>IFERROR(IF($D104="","",SUMIF('Pre-Test Entry'!$C$3:$AQ$3,Settings!$A$28,'Pre-Test Entry'!$C104:$AQ104)/Settings!$C$28),"")</f>
        <v/>
      </c>
      <c r="P104" s="37">
        <f>IFERROR(IF($D104="","",SUMIF('Pre-Test Entry'!$C$3:$AQ$3,Settings!$A$29,'Pre-Test Entry'!$C104:$AQ104)/Settings!$C$29),"")</f>
        <v/>
      </c>
      <c r="Q104" s="37">
        <f>IFERROR(IF($D104="","",SUMIF('Pre-Test Entry'!$C$3:$AQ$3,Settings!$A$30,'Pre-Test Entry'!$C104:$AQ104)/Settings!$C$30),"")</f>
        <v/>
      </c>
      <c r="R104" s="37">
        <f>IFERROR(IF($D104="","",SUMIF('Pre-Test Entry'!$C$3:$AQ$3,Settings!$A$31,'Pre-Test Entry'!$C104:$AQ104)/Settings!$C$31),"")</f>
        <v/>
      </c>
      <c r="S104" s="37">
        <f>IFERROR(IF($D104="","",SUMIF('Pre-Test Entry'!$C$3:$AQ$3,Settings!$A$32,'Pre-Test Entry'!$C104:$AQ104)/Settings!$C$32),"")</f>
        <v/>
      </c>
      <c r="T104" s="37">
        <f>IFERROR(IF($D104="","",SUMIF('Pre-Test Entry'!$C$3:$AQ$3,Settings!$A$33,'Pre-Test Entry'!$C104:$AQ104)/Settings!$C$33),"")</f>
        <v/>
      </c>
      <c r="U104" s="37">
        <f>IFERROR(IF($D104="","",SUMIF('Pre-Test Entry'!$C$3:$AQ$3,Settings!$A$34,'Pre-Test Entry'!$C104:$AQ104)/Settings!$C$34),"")</f>
        <v/>
      </c>
      <c r="V104" s="37">
        <f>IFERROR(IF($G104="","",SUMIF('Post-Test Entry'!$C$3:$AQ$3,Settings!$A$28,'Post-Test Entry'!$C104:$AQ104)/Settings!$C$28),"")</f>
        <v/>
      </c>
      <c r="W104" s="37">
        <f>IFERROR(IF($G104="","",SUMIF('Post-Test Entry'!$C$3:$AQ$3,Settings!$A$29,'Post-Test Entry'!$C104:$AQ104)/Settings!$C$29),"")</f>
        <v/>
      </c>
      <c r="X104" s="37">
        <f>IFERROR(IF($G104="","",SUMIF('Post-Test Entry'!$C$3:$AQ$3,Settings!$A$30,'Post-Test Entry'!$C104:$AQ104)/Settings!$C$30),"")</f>
        <v/>
      </c>
      <c r="Y104" s="37">
        <f>IFERROR(IF($G104="","",SUMIF('Post-Test Entry'!$C$3:$AQ$3,Settings!$A$31,'Post-Test Entry'!$C104:$AQ104)/Settings!$C$31),"")</f>
        <v/>
      </c>
      <c r="Z104" s="37">
        <f>IFERROR(IF($G104="","",SUMIF('Post-Test Entry'!$C$3:$AQ$3,Settings!$A$32,'Post-Test Entry'!$C104:$AQ104)/Settings!$C$32),"")</f>
        <v/>
      </c>
      <c r="AA104" s="37">
        <f>IFERROR(IF($G104="","",SUMIF('Post-Test Entry'!$C$3:$AQ$3,Settings!$A$33,'Post-Test Entry'!$C104:$AQ104)/Settings!$C$33),"")</f>
        <v/>
      </c>
      <c r="AB104" s="37">
        <f>IFERROR(IF($G104="","",SUMIF('Post-Test Entry'!$C$3:$AQ$3,Settings!$A$34,'Post-Test Entry'!$C104:$AQ104)/Settings!$C$34),"")</f>
        <v/>
      </c>
      <c r="AC104" s="37">
        <f>IF(OR(O104="",V104=""),"",V104-O104)</f>
        <v/>
      </c>
      <c r="AD104" s="37">
        <f>IF(OR(P104="",W104=""),"",W104-P104)</f>
        <v/>
      </c>
      <c r="AE104" s="37">
        <f>IF(OR(Q104="",X104=""),"",X104-Q104)</f>
        <v/>
      </c>
      <c r="AF104" s="37">
        <f>IF(OR(R104="",Y104=""),"",Y104-R104)</f>
        <v/>
      </c>
      <c r="AG104" s="37">
        <f>IF(OR(S104="",Z104=""),"",Z104-S104)</f>
        <v/>
      </c>
      <c r="AH104" s="37">
        <f>IF(OR(T104="",AA104=""),"",AA104-T104)</f>
        <v/>
      </c>
      <c r="AI104" s="37">
        <f>IF(OR(U104="",AB104=""),"",AB104-U104)</f>
        <v/>
      </c>
      <c r="AJ104" s="30">
        <f>IFERROR(IF($G104&lt;&gt;"",INDEX($V$4:$AB$4,MATCH(MIN($V104:$AB104),$V104:$AB104,0)),IF($D104&lt;&gt;"",INDEX($O$4:$U$4,MATCH(MIN($O104:$U104),$O104:$U104,0)),"")),"")</f>
        <v/>
      </c>
      <c r="AK104" s="30">
        <f>IFERROR(IF($G104&lt;&gt;"",INDEX($V$4:$AB$4,MATCH(SMALL($V104:$AB104,2),$V104:$AB104,0)),IF($D104&lt;&gt;"",INDEX($O$4:$U$4,MATCH(SMALL($O104:$U104,2),$O104:$U104,0)),"")),"")</f>
        <v/>
      </c>
      <c r="AL104" s="30">
        <f>IF(OR(G104="",Settings!$B$17=""),"",IF(OR(ABS(G104-Settings!$B$5)&lt;=Settings!$B$17,ABS(G104-Settings!$B$6)&lt;=Settings!$B$17,ABS(G104-Settings!$B$7)&lt;=Settings!$B$17),"NEAR CUT",""))</f>
        <v/>
      </c>
      <c r="AM104" s="31">
        <f>IF('Post-Test Entry'!$AR104&lt;&gt;"","Post essay: code "&amp;'Post-Test Entry'!$AR104,IF('Pre-Test Entry'!$AR104&lt;&gt;"","Pre essay: code "&amp;'Pre-Test Entry'!$AR104,""))</f>
        <v/>
      </c>
      <c r="AN104" s="39">
        <f>IFERROR(IF($AJ104="","",INDEX(Settings!$D$28:$D$34,MATCH($AJ104,Settings!$A$28:$A$34,0))),"")</f>
        <v/>
      </c>
      <c r="AP104">
        <f>IF(D104="","",D104^2)</f>
        <v/>
      </c>
      <c r="AQ104">
        <f>IF(G104="","",G104^2)</f>
        <v/>
      </c>
    </row>
    <row r="105">
      <c r="A105" s="30">
        <f>IF(Roster!$A105="","",Roster!$A105)</f>
        <v/>
      </c>
      <c r="B105" s="31">
        <f>IF(Roster!$B105&lt;&gt;"",Roster!$C105&amp;" "&amp;Roster!$B105,"")</f>
        <v/>
      </c>
      <c r="C105" s="30">
        <f>IF(Roster!$B105&lt;&gt;"",Roster!$D105,"")</f>
        <v/>
      </c>
      <c r="D105" s="16">
        <f>IF(AND(Roster!$B105&lt;&gt;"",COUNT('Pre-Test Entry'!$C105:$AQ105)&gt;0),'Pre-Test Entry'!$AS105,"")</f>
        <v/>
      </c>
      <c r="E105" s="37">
        <f>IFERROR(D105/Settings!$B$8,"")</f>
        <v/>
      </c>
      <c r="F105" s="31">
        <f>IF(D105="","",IF(D105&gt;=Settings!$B$7,"Distinguished Learner",IF(D105&gt;=Settings!$B$6,"Proficient Learner",IF(D105&gt;=Settings!$B$5,"Developing Learner","Beginning Learner"))))</f>
        <v/>
      </c>
      <c r="G105" s="16">
        <f>IF(AND(Roster!$B105&lt;&gt;"",COUNT('Post-Test Entry'!$C105:$AQ105)&gt;0),'Post-Test Entry'!$AS105,"")</f>
        <v/>
      </c>
      <c r="H105" s="37">
        <f>IFERROR(G105/Settings!$B$8,"")</f>
        <v/>
      </c>
      <c r="I105" s="31">
        <f>IF(G105="","",IF(G105&gt;=Settings!$B$7,"Distinguished Learner",IF(G105&gt;=Settings!$B$6,"Proficient Learner",IF(G105&gt;=Settings!$B$5,"Developing Learner","Beginning Learner"))))</f>
        <v/>
      </c>
      <c r="J105" s="16">
        <f>IF(OR(D105="",G105=""),"",G105-D105)</f>
        <v/>
      </c>
      <c r="K105" s="37">
        <f>IFERROR(IF(OR(J105="",J105&lt;=0),"",(G105-D105)/(Settings!$B$8-D105)),"")</f>
        <v/>
      </c>
      <c r="L105" s="38">
        <f>IFERROR(IF(J105="","",(G105-D105)/(Settings!$B$17*SQRT(2))),"")</f>
        <v/>
      </c>
      <c r="M105" s="30">
        <f>IF(L105="","",IF(ABS(L105)&gt;=1.96,"Yes","No"))</f>
        <v/>
      </c>
      <c r="N105" s="30">
        <f>IF(J105="","",IF(J105&gt;=Settings!$B$15,"Yes","No"))</f>
        <v/>
      </c>
      <c r="O105" s="37">
        <f>IFERROR(IF($D105="","",SUMIF('Pre-Test Entry'!$C$3:$AQ$3,Settings!$A$28,'Pre-Test Entry'!$C105:$AQ105)/Settings!$C$28),"")</f>
        <v/>
      </c>
      <c r="P105" s="37">
        <f>IFERROR(IF($D105="","",SUMIF('Pre-Test Entry'!$C$3:$AQ$3,Settings!$A$29,'Pre-Test Entry'!$C105:$AQ105)/Settings!$C$29),"")</f>
        <v/>
      </c>
      <c r="Q105" s="37">
        <f>IFERROR(IF($D105="","",SUMIF('Pre-Test Entry'!$C$3:$AQ$3,Settings!$A$30,'Pre-Test Entry'!$C105:$AQ105)/Settings!$C$30),"")</f>
        <v/>
      </c>
      <c r="R105" s="37">
        <f>IFERROR(IF($D105="","",SUMIF('Pre-Test Entry'!$C$3:$AQ$3,Settings!$A$31,'Pre-Test Entry'!$C105:$AQ105)/Settings!$C$31),"")</f>
        <v/>
      </c>
      <c r="S105" s="37">
        <f>IFERROR(IF($D105="","",SUMIF('Pre-Test Entry'!$C$3:$AQ$3,Settings!$A$32,'Pre-Test Entry'!$C105:$AQ105)/Settings!$C$32),"")</f>
        <v/>
      </c>
      <c r="T105" s="37">
        <f>IFERROR(IF($D105="","",SUMIF('Pre-Test Entry'!$C$3:$AQ$3,Settings!$A$33,'Pre-Test Entry'!$C105:$AQ105)/Settings!$C$33),"")</f>
        <v/>
      </c>
      <c r="U105" s="37">
        <f>IFERROR(IF($D105="","",SUMIF('Pre-Test Entry'!$C$3:$AQ$3,Settings!$A$34,'Pre-Test Entry'!$C105:$AQ105)/Settings!$C$34),"")</f>
        <v/>
      </c>
      <c r="V105" s="37">
        <f>IFERROR(IF($G105="","",SUMIF('Post-Test Entry'!$C$3:$AQ$3,Settings!$A$28,'Post-Test Entry'!$C105:$AQ105)/Settings!$C$28),"")</f>
        <v/>
      </c>
      <c r="W105" s="37">
        <f>IFERROR(IF($G105="","",SUMIF('Post-Test Entry'!$C$3:$AQ$3,Settings!$A$29,'Post-Test Entry'!$C105:$AQ105)/Settings!$C$29),"")</f>
        <v/>
      </c>
      <c r="X105" s="37">
        <f>IFERROR(IF($G105="","",SUMIF('Post-Test Entry'!$C$3:$AQ$3,Settings!$A$30,'Post-Test Entry'!$C105:$AQ105)/Settings!$C$30),"")</f>
        <v/>
      </c>
      <c r="Y105" s="37">
        <f>IFERROR(IF($G105="","",SUMIF('Post-Test Entry'!$C$3:$AQ$3,Settings!$A$31,'Post-Test Entry'!$C105:$AQ105)/Settings!$C$31),"")</f>
        <v/>
      </c>
      <c r="Z105" s="37">
        <f>IFERROR(IF($G105="","",SUMIF('Post-Test Entry'!$C$3:$AQ$3,Settings!$A$32,'Post-Test Entry'!$C105:$AQ105)/Settings!$C$32),"")</f>
        <v/>
      </c>
      <c r="AA105" s="37">
        <f>IFERROR(IF($G105="","",SUMIF('Post-Test Entry'!$C$3:$AQ$3,Settings!$A$33,'Post-Test Entry'!$C105:$AQ105)/Settings!$C$33),"")</f>
        <v/>
      </c>
      <c r="AB105" s="37">
        <f>IFERROR(IF($G105="","",SUMIF('Post-Test Entry'!$C$3:$AQ$3,Settings!$A$34,'Post-Test Entry'!$C105:$AQ105)/Settings!$C$34),"")</f>
        <v/>
      </c>
      <c r="AC105" s="37">
        <f>IF(OR(O105="",V105=""),"",V105-O105)</f>
        <v/>
      </c>
      <c r="AD105" s="37">
        <f>IF(OR(P105="",W105=""),"",W105-P105)</f>
        <v/>
      </c>
      <c r="AE105" s="37">
        <f>IF(OR(Q105="",X105=""),"",X105-Q105)</f>
        <v/>
      </c>
      <c r="AF105" s="37">
        <f>IF(OR(R105="",Y105=""),"",Y105-R105)</f>
        <v/>
      </c>
      <c r="AG105" s="37">
        <f>IF(OR(S105="",Z105=""),"",Z105-S105)</f>
        <v/>
      </c>
      <c r="AH105" s="37">
        <f>IF(OR(T105="",AA105=""),"",AA105-T105)</f>
        <v/>
      </c>
      <c r="AI105" s="37">
        <f>IF(OR(U105="",AB105=""),"",AB105-U105)</f>
        <v/>
      </c>
      <c r="AJ105" s="30">
        <f>IFERROR(IF($G105&lt;&gt;"",INDEX($V$4:$AB$4,MATCH(MIN($V105:$AB105),$V105:$AB105,0)),IF($D105&lt;&gt;"",INDEX($O$4:$U$4,MATCH(MIN($O105:$U105),$O105:$U105,0)),"")),"")</f>
        <v/>
      </c>
      <c r="AK105" s="30">
        <f>IFERROR(IF($G105&lt;&gt;"",INDEX($V$4:$AB$4,MATCH(SMALL($V105:$AB105,2),$V105:$AB105,0)),IF($D105&lt;&gt;"",INDEX($O$4:$U$4,MATCH(SMALL($O105:$U105,2),$O105:$U105,0)),"")),"")</f>
        <v/>
      </c>
      <c r="AL105" s="30">
        <f>IF(OR(G105="",Settings!$B$17=""),"",IF(OR(ABS(G105-Settings!$B$5)&lt;=Settings!$B$17,ABS(G105-Settings!$B$6)&lt;=Settings!$B$17,ABS(G105-Settings!$B$7)&lt;=Settings!$B$17),"NEAR CUT",""))</f>
        <v/>
      </c>
      <c r="AM105" s="31">
        <f>IF('Post-Test Entry'!$AR105&lt;&gt;"","Post essay: code "&amp;'Post-Test Entry'!$AR105,IF('Pre-Test Entry'!$AR105&lt;&gt;"","Pre essay: code "&amp;'Pre-Test Entry'!$AR105,""))</f>
        <v/>
      </c>
      <c r="AN105" s="39">
        <f>IFERROR(IF($AJ105="","",INDEX(Settings!$D$28:$D$34,MATCH($AJ105,Settings!$A$28:$A$34,0))),"")</f>
        <v/>
      </c>
      <c r="AP105">
        <f>IF(D105="","",D105^2)</f>
        <v/>
      </c>
      <c r="AQ105">
        <f>IF(G105="","",G105^2)</f>
        <v/>
      </c>
    </row>
    <row r="106">
      <c r="A106" s="30">
        <f>IF(Roster!$A106="","",Roster!$A106)</f>
        <v/>
      </c>
      <c r="B106" s="31">
        <f>IF(Roster!$B106&lt;&gt;"",Roster!$C106&amp;" "&amp;Roster!$B106,"")</f>
        <v/>
      </c>
      <c r="C106" s="30">
        <f>IF(Roster!$B106&lt;&gt;"",Roster!$D106,"")</f>
        <v/>
      </c>
      <c r="D106" s="16">
        <f>IF(AND(Roster!$B106&lt;&gt;"",COUNT('Pre-Test Entry'!$C106:$AQ106)&gt;0),'Pre-Test Entry'!$AS106,"")</f>
        <v/>
      </c>
      <c r="E106" s="37">
        <f>IFERROR(D106/Settings!$B$8,"")</f>
        <v/>
      </c>
      <c r="F106" s="31">
        <f>IF(D106="","",IF(D106&gt;=Settings!$B$7,"Distinguished Learner",IF(D106&gt;=Settings!$B$6,"Proficient Learner",IF(D106&gt;=Settings!$B$5,"Developing Learner","Beginning Learner"))))</f>
        <v/>
      </c>
      <c r="G106" s="16">
        <f>IF(AND(Roster!$B106&lt;&gt;"",COUNT('Post-Test Entry'!$C106:$AQ106)&gt;0),'Post-Test Entry'!$AS106,"")</f>
        <v/>
      </c>
      <c r="H106" s="37">
        <f>IFERROR(G106/Settings!$B$8,"")</f>
        <v/>
      </c>
      <c r="I106" s="31">
        <f>IF(G106="","",IF(G106&gt;=Settings!$B$7,"Distinguished Learner",IF(G106&gt;=Settings!$B$6,"Proficient Learner",IF(G106&gt;=Settings!$B$5,"Developing Learner","Beginning Learner"))))</f>
        <v/>
      </c>
      <c r="J106" s="16">
        <f>IF(OR(D106="",G106=""),"",G106-D106)</f>
        <v/>
      </c>
      <c r="K106" s="37">
        <f>IFERROR(IF(OR(J106="",J106&lt;=0),"",(G106-D106)/(Settings!$B$8-D106)),"")</f>
        <v/>
      </c>
      <c r="L106" s="38">
        <f>IFERROR(IF(J106="","",(G106-D106)/(Settings!$B$17*SQRT(2))),"")</f>
        <v/>
      </c>
      <c r="M106" s="30">
        <f>IF(L106="","",IF(ABS(L106)&gt;=1.96,"Yes","No"))</f>
        <v/>
      </c>
      <c r="N106" s="30">
        <f>IF(J106="","",IF(J106&gt;=Settings!$B$15,"Yes","No"))</f>
        <v/>
      </c>
      <c r="O106" s="37">
        <f>IFERROR(IF($D106="","",SUMIF('Pre-Test Entry'!$C$3:$AQ$3,Settings!$A$28,'Pre-Test Entry'!$C106:$AQ106)/Settings!$C$28),"")</f>
        <v/>
      </c>
      <c r="P106" s="37">
        <f>IFERROR(IF($D106="","",SUMIF('Pre-Test Entry'!$C$3:$AQ$3,Settings!$A$29,'Pre-Test Entry'!$C106:$AQ106)/Settings!$C$29),"")</f>
        <v/>
      </c>
      <c r="Q106" s="37">
        <f>IFERROR(IF($D106="","",SUMIF('Pre-Test Entry'!$C$3:$AQ$3,Settings!$A$30,'Pre-Test Entry'!$C106:$AQ106)/Settings!$C$30),"")</f>
        <v/>
      </c>
      <c r="R106" s="37">
        <f>IFERROR(IF($D106="","",SUMIF('Pre-Test Entry'!$C$3:$AQ$3,Settings!$A$31,'Pre-Test Entry'!$C106:$AQ106)/Settings!$C$31),"")</f>
        <v/>
      </c>
      <c r="S106" s="37">
        <f>IFERROR(IF($D106="","",SUMIF('Pre-Test Entry'!$C$3:$AQ$3,Settings!$A$32,'Pre-Test Entry'!$C106:$AQ106)/Settings!$C$32),"")</f>
        <v/>
      </c>
      <c r="T106" s="37">
        <f>IFERROR(IF($D106="","",SUMIF('Pre-Test Entry'!$C$3:$AQ$3,Settings!$A$33,'Pre-Test Entry'!$C106:$AQ106)/Settings!$C$33),"")</f>
        <v/>
      </c>
      <c r="U106" s="37">
        <f>IFERROR(IF($D106="","",SUMIF('Pre-Test Entry'!$C$3:$AQ$3,Settings!$A$34,'Pre-Test Entry'!$C106:$AQ106)/Settings!$C$34),"")</f>
        <v/>
      </c>
      <c r="V106" s="37">
        <f>IFERROR(IF($G106="","",SUMIF('Post-Test Entry'!$C$3:$AQ$3,Settings!$A$28,'Post-Test Entry'!$C106:$AQ106)/Settings!$C$28),"")</f>
        <v/>
      </c>
      <c r="W106" s="37">
        <f>IFERROR(IF($G106="","",SUMIF('Post-Test Entry'!$C$3:$AQ$3,Settings!$A$29,'Post-Test Entry'!$C106:$AQ106)/Settings!$C$29),"")</f>
        <v/>
      </c>
      <c r="X106" s="37">
        <f>IFERROR(IF($G106="","",SUMIF('Post-Test Entry'!$C$3:$AQ$3,Settings!$A$30,'Post-Test Entry'!$C106:$AQ106)/Settings!$C$30),"")</f>
        <v/>
      </c>
      <c r="Y106" s="37">
        <f>IFERROR(IF($G106="","",SUMIF('Post-Test Entry'!$C$3:$AQ$3,Settings!$A$31,'Post-Test Entry'!$C106:$AQ106)/Settings!$C$31),"")</f>
        <v/>
      </c>
      <c r="Z106" s="37">
        <f>IFERROR(IF($G106="","",SUMIF('Post-Test Entry'!$C$3:$AQ$3,Settings!$A$32,'Post-Test Entry'!$C106:$AQ106)/Settings!$C$32),"")</f>
        <v/>
      </c>
      <c r="AA106" s="37">
        <f>IFERROR(IF($G106="","",SUMIF('Post-Test Entry'!$C$3:$AQ$3,Settings!$A$33,'Post-Test Entry'!$C106:$AQ106)/Settings!$C$33),"")</f>
        <v/>
      </c>
      <c r="AB106" s="37">
        <f>IFERROR(IF($G106="","",SUMIF('Post-Test Entry'!$C$3:$AQ$3,Settings!$A$34,'Post-Test Entry'!$C106:$AQ106)/Settings!$C$34),"")</f>
        <v/>
      </c>
      <c r="AC106" s="37">
        <f>IF(OR(O106="",V106=""),"",V106-O106)</f>
        <v/>
      </c>
      <c r="AD106" s="37">
        <f>IF(OR(P106="",W106=""),"",W106-P106)</f>
        <v/>
      </c>
      <c r="AE106" s="37">
        <f>IF(OR(Q106="",X106=""),"",X106-Q106)</f>
        <v/>
      </c>
      <c r="AF106" s="37">
        <f>IF(OR(R106="",Y106=""),"",Y106-R106)</f>
        <v/>
      </c>
      <c r="AG106" s="37">
        <f>IF(OR(S106="",Z106=""),"",Z106-S106)</f>
        <v/>
      </c>
      <c r="AH106" s="37">
        <f>IF(OR(T106="",AA106=""),"",AA106-T106)</f>
        <v/>
      </c>
      <c r="AI106" s="37">
        <f>IF(OR(U106="",AB106=""),"",AB106-U106)</f>
        <v/>
      </c>
      <c r="AJ106" s="30">
        <f>IFERROR(IF($G106&lt;&gt;"",INDEX($V$4:$AB$4,MATCH(MIN($V106:$AB106),$V106:$AB106,0)),IF($D106&lt;&gt;"",INDEX($O$4:$U$4,MATCH(MIN($O106:$U106),$O106:$U106,0)),"")),"")</f>
        <v/>
      </c>
      <c r="AK106" s="30">
        <f>IFERROR(IF($G106&lt;&gt;"",INDEX($V$4:$AB$4,MATCH(SMALL($V106:$AB106,2),$V106:$AB106,0)),IF($D106&lt;&gt;"",INDEX($O$4:$U$4,MATCH(SMALL($O106:$U106,2),$O106:$U106,0)),"")),"")</f>
        <v/>
      </c>
      <c r="AL106" s="30">
        <f>IF(OR(G106="",Settings!$B$17=""),"",IF(OR(ABS(G106-Settings!$B$5)&lt;=Settings!$B$17,ABS(G106-Settings!$B$6)&lt;=Settings!$B$17,ABS(G106-Settings!$B$7)&lt;=Settings!$B$17),"NEAR CUT",""))</f>
        <v/>
      </c>
      <c r="AM106" s="31">
        <f>IF('Post-Test Entry'!$AR106&lt;&gt;"","Post essay: code "&amp;'Post-Test Entry'!$AR106,IF('Pre-Test Entry'!$AR106&lt;&gt;"","Pre essay: code "&amp;'Pre-Test Entry'!$AR106,""))</f>
        <v/>
      </c>
      <c r="AN106" s="39">
        <f>IFERROR(IF($AJ106="","",INDEX(Settings!$D$28:$D$34,MATCH($AJ106,Settings!$A$28:$A$34,0))),"")</f>
        <v/>
      </c>
      <c r="AP106">
        <f>IF(D106="","",D106^2)</f>
        <v/>
      </c>
      <c r="AQ106">
        <f>IF(G106="","",G106^2)</f>
        <v/>
      </c>
    </row>
    <row r="107">
      <c r="A107" s="30">
        <f>IF(Roster!$A107="","",Roster!$A107)</f>
        <v/>
      </c>
      <c r="B107" s="31">
        <f>IF(Roster!$B107&lt;&gt;"",Roster!$C107&amp;" "&amp;Roster!$B107,"")</f>
        <v/>
      </c>
      <c r="C107" s="30">
        <f>IF(Roster!$B107&lt;&gt;"",Roster!$D107,"")</f>
        <v/>
      </c>
      <c r="D107" s="16">
        <f>IF(AND(Roster!$B107&lt;&gt;"",COUNT('Pre-Test Entry'!$C107:$AQ107)&gt;0),'Pre-Test Entry'!$AS107,"")</f>
        <v/>
      </c>
      <c r="E107" s="37">
        <f>IFERROR(D107/Settings!$B$8,"")</f>
        <v/>
      </c>
      <c r="F107" s="31">
        <f>IF(D107="","",IF(D107&gt;=Settings!$B$7,"Distinguished Learner",IF(D107&gt;=Settings!$B$6,"Proficient Learner",IF(D107&gt;=Settings!$B$5,"Developing Learner","Beginning Learner"))))</f>
        <v/>
      </c>
      <c r="G107" s="16">
        <f>IF(AND(Roster!$B107&lt;&gt;"",COUNT('Post-Test Entry'!$C107:$AQ107)&gt;0),'Post-Test Entry'!$AS107,"")</f>
        <v/>
      </c>
      <c r="H107" s="37">
        <f>IFERROR(G107/Settings!$B$8,"")</f>
        <v/>
      </c>
      <c r="I107" s="31">
        <f>IF(G107="","",IF(G107&gt;=Settings!$B$7,"Distinguished Learner",IF(G107&gt;=Settings!$B$6,"Proficient Learner",IF(G107&gt;=Settings!$B$5,"Developing Learner","Beginning Learner"))))</f>
        <v/>
      </c>
      <c r="J107" s="16">
        <f>IF(OR(D107="",G107=""),"",G107-D107)</f>
        <v/>
      </c>
      <c r="K107" s="37">
        <f>IFERROR(IF(OR(J107="",J107&lt;=0),"",(G107-D107)/(Settings!$B$8-D107)),"")</f>
        <v/>
      </c>
      <c r="L107" s="38">
        <f>IFERROR(IF(J107="","",(G107-D107)/(Settings!$B$17*SQRT(2))),"")</f>
        <v/>
      </c>
      <c r="M107" s="30">
        <f>IF(L107="","",IF(ABS(L107)&gt;=1.96,"Yes","No"))</f>
        <v/>
      </c>
      <c r="N107" s="30">
        <f>IF(J107="","",IF(J107&gt;=Settings!$B$15,"Yes","No"))</f>
        <v/>
      </c>
      <c r="O107" s="37">
        <f>IFERROR(IF($D107="","",SUMIF('Pre-Test Entry'!$C$3:$AQ$3,Settings!$A$28,'Pre-Test Entry'!$C107:$AQ107)/Settings!$C$28),"")</f>
        <v/>
      </c>
      <c r="P107" s="37">
        <f>IFERROR(IF($D107="","",SUMIF('Pre-Test Entry'!$C$3:$AQ$3,Settings!$A$29,'Pre-Test Entry'!$C107:$AQ107)/Settings!$C$29),"")</f>
        <v/>
      </c>
      <c r="Q107" s="37">
        <f>IFERROR(IF($D107="","",SUMIF('Pre-Test Entry'!$C$3:$AQ$3,Settings!$A$30,'Pre-Test Entry'!$C107:$AQ107)/Settings!$C$30),"")</f>
        <v/>
      </c>
      <c r="R107" s="37">
        <f>IFERROR(IF($D107="","",SUMIF('Pre-Test Entry'!$C$3:$AQ$3,Settings!$A$31,'Pre-Test Entry'!$C107:$AQ107)/Settings!$C$31),"")</f>
        <v/>
      </c>
      <c r="S107" s="37">
        <f>IFERROR(IF($D107="","",SUMIF('Pre-Test Entry'!$C$3:$AQ$3,Settings!$A$32,'Pre-Test Entry'!$C107:$AQ107)/Settings!$C$32),"")</f>
        <v/>
      </c>
      <c r="T107" s="37">
        <f>IFERROR(IF($D107="","",SUMIF('Pre-Test Entry'!$C$3:$AQ$3,Settings!$A$33,'Pre-Test Entry'!$C107:$AQ107)/Settings!$C$33),"")</f>
        <v/>
      </c>
      <c r="U107" s="37">
        <f>IFERROR(IF($D107="","",SUMIF('Pre-Test Entry'!$C$3:$AQ$3,Settings!$A$34,'Pre-Test Entry'!$C107:$AQ107)/Settings!$C$34),"")</f>
        <v/>
      </c>
      <c r="V107" s="37">
        <f>IFERROR(IF($G107="","",SUMIF('Post-Test Entry'!$C$3:$AQ$3,Settings!$A$28,'Post-Test Entry'!$C107:$AQ107)/Settings!$C$28),"")</f>
        <v/>
      </c>
      <c r="W107" s="37">
        <f>IFERROR(IF($G107="","",SUMIF('Post-Test Entry'!$C$3:$AQ$3,Settings!$A$29,'Post-Test Entry'!$C107:$AQ107)/Settings!$C$29),"")</f>
        <v/>
      </c>
      <c r="X107" s="37">
        <f>IFERROR(IF($G107="","",SUMIF('Post-Test Entry'!$C$3:$AQ$3,Settings!$A$30,'Post-Test Entry'!$C107:$AQ107)/Settings!$C$30),"")</f>
        <v/>
      </c>
      <c r="Y107" s="37">
        <f>IFERROR(IF($G107="","",SUMIF('Post-Test Entry'!$C$3:$AQ$3,Settings!$A$31,'Post-Test Entry'!$C107:$AQ107)/Settings!$C$31),"")</f>
        <v/>
      </c>
      <c r="Z107" s="37">
        <f>IFERROR(IF($G107="","",SUMIF('Post-Test Entry'!$C$3:$AQ$3,Settings!$A$32,'Post-Test Entry'!$C107:$AQ107)/Settings!$C$32),"")</f>
        <v/>
      </c>
      <c r="AA107" s="37">
        <f>IFERROR(IF($G107="","",SUMIF('Post-Test Entry'!$C$3:$AQ$3,Settings!$A$33,'Post-Test Entry'!$C107:$AQ107)/Settings!$C$33),"")</f>
        <v/>
      </c>
      <c r="AB107" s="37">
        <f>IFERROR(IF($G107="","",SUMIF('Post-Test Entry'!$C$3:$AQ$3,Settings!$A$34,'Post-Test Entry'!$C107:$AQ107)/Settings!$C$34),"")</f>
        <v/>
      </c>
      <c r="AC107" s="37">
        <f>IF(OR(O107="",V107=""),"",V107-O107)</f>
        <v/>
      </c>
      <c r="AD107" s="37">
        <f>IF(OR(P107="",W107=""),"",W107-P107)</f>
        <v/>
      </c>
      <c r="AE107" s="37">
        <f>IF(OR(Q107="",X107=""),"",X107-Q107)</f>
        <v/>
      </c>
      <c r="AF107" s="37">
        <f>IF(OR(R107="",Y107=""),"",Y107-R107)</f>
        <v/>
      </c>
      <c r="AG107" s="37">
        <f>IF(OR(S107="",Z107=""),"",Z107-S107)</f>
        <v/>
      </c>
      <c r="AH107" s="37">
        <f>IF(OR(T107="",AA107=""),"",AA107-T107)</f>
        <v/>
      </c>
      <c r="AI107" s="37">
        <f>IF(OR(U107="",AB107=""),"",AB107-U107)</f>
        <v/>
      </c>
      <c r="AJ107" s="30">
        <f>IFERROR(IF($G107&lt;&gt;"",INDEX($V$4:$AB$4,MATCH(MIN($V107:$AB107),$V107:$AB107,0)),IF($D107&lt;&gt;"",INDEX($O$4:$U$4,MATCH(MIN($O107:$U107),$O107:$U107,0)),"")),"")</f>
        <v/>
      </c>
      <c r="AK107" s="30">
        <f>IFERROR(IF($G107&lt;&gt;"",INDEX($V$4:$AB$4,MATCH(SMALL($V107:$AB107,2),$V107:$AB107,0)),IF($D107&lt;&gt;"",INDEX($O$4:$U$4,MATCH(SMALL($O107:$U107,2),$O107:$U107,0)),"")),"")</f>
        <v/>
      </c>
      <c r="AL107" s="30">
        <f>IF(OR(G107="",Settings!$B$17=""),"",IF(OR(ABS(G107-Settings!$B$5)&lt;=Settings!$B$17,ABS(G107-Settings!$B$6)&lt;=Settings!$B$17,ABS(G107-Settings!$B$7)&lt;=Settings!$B$17),"NEAR CUT",""))</f>
        <v/>
      </c>
      <c r="AM107" s="31">
        <f>IF('Post-Test Entry'!$AR107&lt;&gt;"","Post essay: code "&amp;'Post-Test Entry'!$AR107,IF('Pre-Test Entry'!$AR107&lt;&gt;"","Pre essay: code "&amp;'Pre-Test Entry'!$AR107,""))</f>
        <v/>
      </c>
      <c r="AN107" s="39">
        <f>IFERROR(IF($AJ107="","",INDEX(Settings!$D$28:$D$34,MATCH($AJ107,Settings!$A$28:$A$34,0))),"")</f>
        <v/>
      </c>
      <c r="AP107">
        <f>IF(D107="","",D107^2)</f>
        <v/>
      </c>
      <c r="AQ107">
        <f>IF(G107="","",G107^2)</f>
        <v/>
      </c>
    </row>
    <row r="108">
      <c r="A108" s="30">
        <f>IF(Roster!$A108="","",Roster!$A108)</f>
        <v/>
      </c>
      <c r="B108" s="31">
        <f>IF(Roster!$B108&lt;&gt;"",Roster!$C108&amp;" "&amp;Roster!$B108,"")</f>
        <v/>
      </c>
      <c r="C108" s="30">
        <f>IF(Roster!$B108&lt;&gt;"",Roster!$D108,"")</f>
        <v/>
      </c>
      <c r="D108" s="16">
        <f>IF(AND(Roster!$B108&lt;&gt;"",COUNT('Pre-Test Entry'!$C108:$AQ108)&gt;0),'Pre-Test Entry'!$AS108,"")</f>
        <v/>
      </c>
      <c r="E108" s="37">
        <f>IFERROR(D108/Settings!$B$8,"")</f>
        <v/>
      </c>
      <c r="F108" s="31">
        <f>IF(D108="","",IF(D108&gt;=Settings!$B$7,"Distinguished Learner",IF(D108&gt;=Settings!$B$6,"Proficient Learner",IF(D108&gt;=Settings!$B$5,"Developing Learner","Beginning Learner"))))</f>
        <v/>
      </c>
      <c r="G108" s="16">
        <f>IF(AND(Roster!$B108&lt;&gt;"",COUNT('Post-Test Entry'!$C108:$AQ108)&gt;0),'Post-Test Entry'!$AS108,"")</f>
        <v/>
      </c>
      <c r="H108" s="37">
        <f>IFERROR(G108/Settings!$B$8,"")</f>
        <v/>
      </c>
      <c r="I108" s="31">
        <f>IF(G108="","",IF(G108&gt;=Settings!$B$7,"Distinguished Learner",IF(G108&gt;=Settings!$B$6,"Proficient Learner",IF(G108&gt;=Settings!$B$5,"Developing Learner","Beginning Learner"))))</f>
        <v/>
      </c>
      <c r="J108" s="16">
        <f>IF(OR(D108="",G108=""),"",G108-D108)</f>
        <v/>
      </c>
      <c r="K108" s="37">
        <f>IFERROR(IF(OR(J108="",J108&lt;=0),"",(G108-D108)/(Settings!$B$8-D108)),"")</f>
        <v/>
      </c>
      <c r="L108" s="38">
        <f>IFERROR(IF(J108="","",(G108-D108)/(Settings!$B$17*SQRT(2))),"")</f>
        <v/>
      </c>
      <c r="M108" s="30">
        <f>IF(L108="","",IF(ABS(L108)&gt;=1.96,"Yes","No"))</f>
        <v/>
      </c>
      <c r="N108" s="30">
        <f>IF(J108="","",IF(J108&gt;=Settings!$B$15,"Yes","No"))</f>
        <v/>
      </c>
      <c r="O108" s="37">
        <f>IFERROR(IF($D108="","",SUMIF('Pre-Test Entry'!$C$3:$AQ$3,Settings!$A$28,'Pre-Test Entry'!$C108:$AQ108)/Settings!$C$28),"")</f>
        <v/>
      </c>
      <c r="P108" s="37">
        <f>IFERROR(IF($D108="","",SUMIF('Pre-Test Entry'!$C$3:$AQ$3,Settings!$A$29,'Pre-Test Entry'!$C108:$AQ108)/Settings!$C$29),"")</f>
        <v/>
      </c>
      <c r="Q108" s="37">
        <f>IFERROR(IF($D108="","",SUMIF('Pre-Test Entry'!$C$3:$AQ$3,Settings!$A$30,'Pre-Test Entry'!$C108:$AQ108)/Settings!$C$30),"")</f>
        <v/>
      </c>
      <c r="R108" s="37">
        <f>IFERROR(IF($D108="","",SUMIF('Pre-Test Entry'!$C$3:$AQ$3,Settings!$A$31,'Pre-Test Entry'!$C108:$AQ108)/Settings!$C$31),"")</f>
        <v/>
      </c>
      <c r="S108" s="37">
        <f>IFERROR(IF($D108="","",SUMIF('Pre-Test Entry'!$C$3:$AQ$3,Settings!$A$32,'Pre-Test Entry'!$C108:$AQ108)/Settings!$C$32),"")</f>
        <v/>
      </c>
      <c r="T108" s="37">
        <f>IFERROR(IF($D108="","",SUMIF('Pre-Test Entry'!$C$3:$AQ$3,Settings!$A$33,'Pre-Test Entry'!$C108:$AQ108)/Settings!$C$33),"")</f>
        <v/>
      </c>
      <c r="U108" s="37">
        <f>IFERROR(IF($D108="","",SUMIF('Pre-Test Entry'!$C$3:$AQ$3,Settings!$A$34,'Pre-Test Entry'!$C108:$AQ108)/Settings!$C$34),"")</f>
        <v/>
      </c>
      <c r="V108" s="37">
        <f>IFERROR(IF($G108="","",SUMIF('Post-Test Entry'!$C$3:$AQ$3,Settings!$A$28,'Post-Test Entry'!$C108:$AQ108)/Settings!$C$28),"")</f>
        <v/>
      </c>
      <c r="W108" s="37">
        <f>IFERROR(IF($G108="","",SUMIF('Post-Test Entry'!$C$3:$AQ$3,Settings!$A$29,'Post-Test Entry'!$C108:$AQ108)/Settings!$C$29),"")</f>
        <v/>
      </c>
      <c r="X108" s="37">
        <f>IFERROR(IF($G108="","",SUMIF('Post-Test Entry'!$C$3:$AQ$3,Settings!$A$30,'Post-Test Entry'!$C108:$AQ108)/Settings!$C$30),"")</f>
        <v/>
      </c>
      <c r="Y108" s="37">
        <f>IFERROR(IF($G108="","",SUMIF('Post-Test Entry'!$C$3:$AQ$3,Settings!$A$31,'Post-Test Entry'!$C108:$AQ108)/Settings!$C$31),"")</f>
        <v/>
      </c>
      <c r="Z108" s="37">
        <f>IFERROR(IF($G108="","",SUMIF('Post-Test Entry'!$C$3:$AQ$3,Settings!$A$32,'Post-Test Entry'!$C108:$AQ108)/Settings!$C$32),"")</f>
        <v/>
      </c>
      <c r="AA108" s="37">
        <f>IFERROR(IF($G108="","",SUMIF('Post-Test Entry'!$C$3:$AQ$3,Settings!$A$33,'Post-Test Entry'!$C108:$AQ108)/Settings!$C$33),"")</f>
        <v/>
      </c>
      <c r="AB108" s="37">
        <f>IFERROR(IF($G108="","",SUMIF('Post-Test Entry'!$C$3:$AQ$3,Settings!$A$34,'Post-Test Entry'!$C108:$AQ108)/Settings!$C$34),"")</f>
        <v/>
      </c>
      <c r="AC108" s="37">
        <f>IF(OR(O108="",V108=""),"",V108-O108)</f>
        <v/>
      </c>
      <c r="AD108" s="37">
        <f>IF(OR(P108="",W108=""),"",W108-P108)</f>
        <v/>
      </c>
      <c r="AE108" s="37">
        <f>IF(OR(Q108="",X108=""),"",X108-Q108)</f>
        <v/>
      </c>
      <c r="AF108" s="37">
        <f>IF(OR(R108="",Y108=""),"",Y108-R108)</f>
        <v/>
      </c>
      <c r="AG108" s="37">
        <f>IF(OR(S108="",Z108=""),"",Z108-S108)</f>
        <v/>
      </c>
      <c r="AH108" s="37">
        <f>IF(OR(T108="",AA108=""),"",AA108-T108)</f>
        <v/>
      </c>
      <c r="AI108" s="37">
        <f>IF(OR(U108="",AB108=""),"",AB108-U108)</f>
        <v/>
      </c>
      <c r="AJ108" s="30">
        <f>IFERROR(IF($G108&lt;&gt;"",INDEX($V$4:$AB$4,MATCH(MIN($V108:$AB108),$V108:$AB108,0)),IF($D108&lt;&gt;"",INDEX($O$4:$U$4,MATCH(MIN($O108:$U108),$O108:$U108,0)),"")),"")</f>
        <v/>
      </c>
      <c r="AK108" s="30">
        <f>IFERROR(IF($G108&lt;&gt;"",INDEX($V$4:$AB$4,MATCH(SMALL($V108:$AB108,2),$V108:$AB108,0)),IF($D108&lt;&gt;"",INDEX($O$4:$U$4,MATCH(SMALL($O108:$U108,2),$O108:$U108,0)),"")),"")</f>
        <v/>
      </c>
      <c r="AL108" s="30">
        <f>IF(OR(G108="",Settings!$B$17=""),"",IF(OR(ABS(G108-Settings!$B$5)&lt;=Settings!$B$17,ABS(G108-Settings!$B$6)&lt;=Settings!$B$17,ABS(G108-Settings!$B$7)&lt;=Settings!$B$17),"NEAR CUT",""))</f>
        <v/>
      </c>
      <c r="AM108" s="31">
        <f>IF('Post-Test Entry'!$AR108&lt;&gt;"","Post essay: code "&amp;'Post-Test Entry'!$AR108,IF('Pre-Test Entry'!$AR108&lt;&gt;"","Pre essay: code "&amp;'Pre-Test Entry'!$AR108,""))</f>
        <v/>
      </c>
      <c r="AN108" s="39">
        <f>IFERROR(IF($AJ108="","",INDEX(Settings!$D$28:$D$34,MATCH($AJ108,Settings!$A$28:$A$34,0))),"")</f>
        <v/>
      </c>
      <c r="AP108">
        <f>IF(D108="","",D108^2)</f>
        <v/>
      </c>
      <c r="AQ108">
        <f>IF(G108="","",G108^2)</f>
        <v/>
      </c>
    </row>
    <row r="109">
      <c r="A109" s="30">
        <f>IF(Roster!$A109="","",Roster!$A109)</f>
        <v/>
      </c>
      <c r="B109" s="31">
        <f>IF(Roster!$B109&lt;&gt;"",Roster!$C109&amp;" "&amp;Roster!$B109,"")</f>
        <v/>
      </c>
      <c r="C109" s="30">
        <f>IF(Roster!$B109&lt;&gt;"",Roster!$D109,"")</f>
        <v/>
      </c>
      <c r="D109" s="16">
        <f>IF(AND(Roster!$B109&lt;&gt;"",COUNT('Pre-Test Entry'!$C109:$AQ109)&gt;0),'Pre-Test Entry'!$AS109,"")</f>
        <v/>
      </c>
      <c r="E109" s="37">
        <f>IFERROR(D109/Settings!$B$8,"")</f>
        <v/>
      </c>
      <c r="F109" s="31">
        <f>IF(D109="","",IF(D109&gt;=Settings!$B$7,"Distinguished Learner",IF(D109&gt;=Settings!$B$6,"Proficient Learner",IF(D109&gt;=Settings!$B$5,"Developing Learner","Beginning Learner"))))</f>
        <v/>
      </c>
      <c r="G109" s="16">
        <f>IF(AND(Roster!$B109&lt;&gt;"",COUNT('Post-Test Entry'!$C109:$AQ109)&gt;0),'Post-Test Entry'!$AS109,"")</f>
        <v/>
      </c>
      <c r="H109" s="37">
        <f>IFERROR(G109/Settings!$B$8,"")</f>
        <v/>
      </c>
      <c r="I109" s="31">
        <f>IF(G109="","",IF(G109&gt;=Settings!$B$7,"Distinguished Learner",IF(G109&gt;=Settings!$B$6,"Proficient Learner",IF(G109&gt;=Settings!$B$5,"Developing Learner","Beginning Learner"))))</f>
        <v/>
      </c>
      <c r="J109" s="16">
        <f>IF(OR(D109="",G109=""),"",G109-D109)</f>
        <v/>
      </c>
      <c r="K109" s="37">
        <f>IFERROR(IF(OR(J109="",J109&lt;=0),"",(G109-D109)/(Settings!$B$8-D109)),"")</f>
        <v/>
      </c>
      <c r="L109" s="38">
        <f>IFERROR(IF(J109="","",(G109-D109)/(Settings!$B$17*SQRT(2))),"")</f>
        <v/>
      </c>
      <c r="M109" s="30">
        <f>IF(L109="","",IF(ABS(L109)&gt;=1.96,"Yes","No"))</f>
        <v/>
      </c>
      <c r="N109" s="30">
        <f>IF(J109="","",IF(J109&gt;=Settings!$B$15,"Yes","No"))</f>
        <v/>
      </c>
      <c r="O109" s="37">
        <f>IFERROR(IF($D109="","",SUMIF('Pre-Test Entry'!$C$3:$AQ$3,Settings!$A$28,'Pre-Test Entry'!$C109:$AQ109)/Settings!$C$28),"")</f>
        <v/>
      </c>
      <c r="P109" s="37">
        <f>IFERROR(IF($D109="","",SUMIF('Pre-Test Entry'!$C$3:$AQ$3,Settings!$A$29,'Pre-Test Entry'!$C109:$AQ109)/Settings!$C$29),"")</f>
        <v/>
      </c>
      <c r="Q109" s="37">
        <f>IFERROR(IF($D109="","",SUMIF('Pre-Test Entry'!$C$3:$AQ$3,Settings!$A$30,'Pre-Test Entry'!$C109:$AQ109)/Settings!$C$30),"")</f>
        <v/>
      </c>
      <c r="R109" s="37">
        <f>IFERROR(IF($D109="","",SUMIF('Pre-Test Entry'!$C$3:$AQ$3,Settings!$A$31,'Pre-Test Entry'!$C109:$AQ109)/Settings!$C$31),"")</f>
        <v/>
      </c>
      <c r="S109" s="37">
        <f>IFERROR(IF($D109="","",SUMIF('Pre-Test Entry'!$C$3:$AQ$3,Settings!$A$32,'Pre-Test Entry'!$C109:$AQ109)/Settings!$C$32),"")</f>
        <v/>
      </c>
      <c r="T109" s="37">
        <f>IFERROR(IF($D109="","",SUMIF('Pre-Test Entry'!$C$3:$AQ$3,Settings!$A$33,'Pre-Test Entry'!$C109:$AQ109)/Settings!$C$33),"")</f>
        <v/>
      </c>
      <c r="U109" s="37">
        <f>IFERROR(IF($D109="","",SUMIF('Pre-Test Entry'!$C$3:$AQ$3,Settings!$A$34,'Pre-Test Entry'!$C109:$AQ109)/Settings!$C$34),"")</f>
        <v/>
      </c>
      <c r="V109" s="37">
        <f>IFERROR(IF($G109="","",SUMIF('Post-Test Entry'!$C$3:$AQ$3,Settings!$A$28,'Post-Test Entry'!$C109:$AQ109)/Settings!$C$28),"")</f>
        <v/>
      </c>
      <c r="W109" s="37">
        <f>IFERROR(IF($G109="","",SUMIF('Post-Test Entry'!$C$3:$AQ$3,Settings!$A$29,'Post-Test Entry'!$C109:$AQ109)/Settings!$C$29),"")</f>
        <v/>
      </c>
      <c r="X109" s="37">
        <f>IFERROR(IF($G109="","",SUMIF('Post-Test Entry'!$C$3:$AQ$3,Settings!$A$30,'Post-Test Entry'!$C109:$AQ109)/Settings!$C$30),"")</f>
        <v/>
      </c>
      <c r="Y109" s="37">
        <f>IFERROR(IF($G109="","",SUMIF('Post-Test Entry'!$C$3:$AQ$3,Settings!$A$31,'Post-Test Entry'!$C109:$AQ109)/Settings!$C$31),"")</f>
        <v/>
      </c>
      <c r="Z109" s="37">
        <f>IFERROR(IF($G109="","",SUMIF('Post-Test Entry'!$C$3:$AQ$3,Settings!$A$32,'Post-Test Entry'!$C109:$AQ109)/Settings!$C$32),"")</f>
        <v/>
      </c>
      <c r="AA109" s="37">
        <f>IFERROR(IF($G109="","",SUMIF('Post-Test Entry'!$C$3:$AQ$3,Settings!$A$33,'Post-Test Entry'!$C109:$AQ109)/Settings!$C$33),"")</f>
        <v/>
      </c>
      <c r="AB109" s="37">
        <f>IFERROR(IF($G109="","",SUMIF('Post-Test Entry'!$C$3:$AQ$3,Settings!$A$34,'Post-Test Entry'!$C109:$AQ109)/Settings!$C$34),"")</f>
        <v/>
      </c>
      <c r="AC109" s="37">
        <f>IF(OR(O109="",V109=""),"",V109-O109)</f>
        <v/>
      </c>
      <c r="AD109" s="37">
        <f>IF(OR(P109="",W109=""),"",W109-P109)</f>
        <v/>
      </c>
      <c r="AE109" s="37">
        <f>IF(OR(Q109="",X109=""),"",X109-Q109)</f>
        <v/>
      </c>
      <c r="AF109" s="37">
        <f>IF(OR(R109="",Y109=""),"",Y109-R109)</f>
        <v/>
      </c>
      <c r="AG109" s="37">
        <f>IF(OR(S109="",Z109=""),"",Z109-S109)</f>
        <v/>
      </c>
      <c r="AH109" s="37">
        <f>IF(OR(T109="",AA109=""),"",AA109-T109)</f>
        <v/>
      </c>
      <c r="AI109" s="37">
        <f>IF(OR(U109="",AB109=""),"",AB109-U109)</f>
        <v/>
      </c>
      <c r="AJ109" s="30">
        <f>IFERROR(IF($G109&lt;&gt;"",INDEX($V$4:$AB$4,MATCH(MIN($V109:$AB109),$V109:$AB109,0)),IF($D109&lt;&gt;"",INDEX($O$4:$U$4,MATCH(MIN($O109:$U109),$O109:$U109,0)),"")),"")</f>
        <v/>
      </c>
      <c r="AK109" s="30">
        <f>IFERROR(IF($G109&lt;&gt;"",INDEX($V$4:$AB$4,MATCH(SMALL($V109:$AB109,2),$V109:$AB109,0)),IF($D109&lt;&gt;"",INDEX($O$4:$U$4,MATCH(SMALL($O109:$U109,2),$O109:$U109,0)),"")),"")</f>
        <v/>
      </c>
      <c r="AL109" s="30">
        <f>IF(OR(G109="",Settings!$B$17=""),"",IF(OR(ABS(G109-Settings!$B$5)&lt;=Settings!$B$17,ABS(G109-Settings!$B$6)&lt;=Settings!$B$17,ABS(G109-Settings!$B$7)&lt;=Settings!$B$17),"NEAR CUT",""))</f>
        <v/>
      </c>
      <c r="AM109" s="31">
        <f>IF('Post-Test Entry'!$AR109&lt;&gt;"","Post essay: code "&amp;'Post-Test Entry'!$AR109,IF('Pre-Test Entry'!$AR109&lt;&gt;"","Pre essay: code "&amp;'Pre-Test Entry'!$AR109,""))</f>
        <v/>
      </c>
      <c r="AN109" s="39">
        <f>IFERROR(IF($AJ109="","",INDEX(Settings!$D$28:$D$34,MATCH($AJ109,Settings!$A$28:$A$34,0))),"")</f>
        <v/>
      </c>
      <c r="AP109">
        <f>IF(D109="","",D109^2)</f>
        <v/>
      </c>
      <c r="AQ109">
        <f>IF(G109="","",G109^2)</f>
        <v/>
      </c>
    </row>
    <row r="110">
      <c r="A110" s="30">
        <f>IF(Roster!$A110="","",Roster!$A110)</f>
        <v/>
      </c>
      <c r="B110" s="31">
        <f>IF(Roster!$B110&lt;&gt;"",Roster!$C110&amp;" "&amp;Roster!$B110,"")</f>
        <v/>
      </c>
      <c r="C110" s="30">
        <f>IF(Roster!$B110&lt;&gt;"",Roster!$D110,"")</f>
        <v/>
      </c>
      <c r="D110" s="16">
        <f>IF(AND(Roster!$B110&lt;&gt;"",COUNT('Pre-Test Entry'!$C110:$AQ110)&gt;0),'Pre-Test Entry'!$AS110,"")</f>
        <v/>
      </c>
      <c r="E110" s="37">
        <f>IFERROR(D110/Settings!$B$8,"")</f>
        <v/>
      </c>
      <c r="F110" s="31">
        <f>IF(D110="","",IF(D110&gt;=Settings!$B$7,"Distinguished Learner",IF(D110&gt;=Settings!$B$6,"Proficient Learner",IF(D110&gt;=Settings!$B$5,"Developing Learner","Beginning Learner"))))</f>
        <v/>
      </c>
      <c r="G110" s="16">
        <f>IF(AND(Roster!$B110&lt;&gt;"",COUNT('Post-Test Entry'!$C110:$AQ110)&gt;0),'Post-Test Entry'!$AS110,"")</f>
        <v/>
      </c>
      <c r="H110" s="37">
        <f>IFERROR(G110/Settings!$B$8,"")</f>
        <v/>
      </c>
      <c r="I110" s="31">
        <f>IF(G110="","",IF(G110&gt;=Settings!$B$7,"Distinguished Learner",IF(G110&gt;=Settings!$B$6,"Proficient Learner",IF(G110&gt;=Settings!$B$5,"Developing Learner","Beginning Learner"))))</f>
        <v/>
      </c>
      <c r="J110" s="16">
        <f>IF(OR(D110="",G110=""),"",G110-D110)</f>
        <v/>
      </c>
      <c r="K110" s="37">
        <f>IFERROR(IF(OR(J110="",J110&lt;=0),"",(G110-D110)/(Settings!$B$8-D110)),"")</f>
        <v/>
      </c>
      <c r="L110" s="38">
        <f>IFERROR(IF(J110="","",(G110-D110)/(Settings!$B$17*SQRT(2))),"")</f>
        <v/>
      </c>
      <c r="M110" s="30">
        <f>IF(L110="","",IF(ABS(L110)&gt;=1.96,"Yes","No"))</f>
        <v/>
      </c>
      <c r="N110" s="30">
        <f>IF(J110="","",IF(J110&gt;=Settings!$B$15,"Yes","No"))</f>
        <v/>
      </c>
      <c r="O110" s="37">
        <f>IFERROR(IF($D110="","",SUMIF('Pre-Test Entry'!$C$3:$AQ$3,Settings!$A$28,'Pre-Test Entry'!$C110:$AQ110)/Settings!$C$28),"")</f>
        <v/>
      </c>
      <c r="P110" s="37">
        <f>IFERROR(IF($D110="","",SUMIF('Pre-Test Entry'!$C$3:$AQ$3,Settings!$A$29,'Pre-Test Entry'!$C110:$AQ110)/Settings!$C$29),"")</f>
        <v/>
      </c>
      <c r="Q110" s="37">
        <f>IFERROR(IF($D110="","",SUMIF('Pre-Test Entry'!$C$3:$AQ$3,Settings!$A$30,'Pre-Test Entry'!$C110:$AQ110)/Settings!$C$30),"")</f>
        <v/>
      </c>
      <c r="R110" s="37">
        <f>IFERROR(IF($D110="","",SUMIF('Pre-Test Entry'!$C$3:$AQ$3,Settings!$A$31,'Pre-Test Entry'!$C110:$AQ110)/Settings!$C$31),"")</f>
        <v/>
      </c>
      <c r="S110" s="37">
        <f>IFERROR(IF($D110="","",SUMIF('Pre-Test Entry'!$C$3:$AQ$3,Settings!$A$32,'Pre-Test Entry'!$C110:$AQ110)/Settings!$C$32),"")</f>
        <v/>
      </c>
      <c r="T110" s="37">
        <f>IFERROR(IF($D110="","",SUMIF('Pre-Test Entry'!$C$3:$AQ$3,Settings!$A$33,'Pre-Test Entry'!$C110:$AQ110)/Settings!$C$33),"")</f>
        <v/>
      </c>
      <c r="U110" s="37">
        <f>IFERROR(IF($D110="","",SUMIF('Pre-Test Entry'!$C$3:$AQ$3,Settings!$A$34,'Pre-Test Entry'!$C110:$AQ110)/Settings!$C$34),"")</f>
        <v/>
      </c>
      <c r="V110" s="37">
        <f>IFERROR(IF($G110="","",SUMIF('Post-Test Entry'!$C$3:$AQ$3,Settings!$A$28,'Post-Test Entry'!$C110:$AQ110)/Settings!$C$28),"")</f>
        <v/>
      </c>
      <c r="W110" s="37">
        <f>IFERROR(IF($G110="","",SUMIF('Post-Test Entry'!$C$3:$AQ$3,Settings!$A$29,'Post-Test Entry'!$C110:$AQ110)/Settings!$C$29),"")</f>
        <v/>
      </c>
      <c r="X110" s="37">
        <f>IFERROR(IF($G110="","",SUMIF('Post-Test Entry'!$C$3:$AQ$3,Settings!$A$30,'Post-Test Entry'!$C110:$AQ110)/Settings!$C$30),"")</f>
        <v/>
      </c>
      <c r="Y110" s="37">
        <f>IFERROR(IF($G110="","",SUMIF('Post-Test Entry'!$C$3:$AQ$3,Settings!$A$31,'Post-Test Entry'!$C110:$AQ110)/Settings!$C$31),"")</f>
        <v/>
      </c>
      <c r="Z110" s="37">
        <f>IFERROR(IF($G110="","",SUMIF('Post-Test Entry'!$C$3:$AQ$3,Settings!$A$32,'Post-Test Entry'!$C110:$AQ110)/Settings!$C$32),"")</f>
        <v/>
      </c>
      <c r="AA110" s="37">
        <f>IFERROR(IF($G110="","",SUMIF('Post-Test Entry'!$C$3:$AQ$3,Settings!$A$33,'Post-Test Entry'!$C110:$AQ110)/Settings!$C$33),"")</f>
        <v/>
      </c>
      <c r="AB110" s="37">
        <f>IFERROR(IF($G110="","",SUMIF('Post-Test Entry'!$C$3:$AQ$3,Settings!$A$34,'Post-Test Entry'!$C110:$AQ110)/Settings!$C$34),"")</f>
        <v/>
      </c>
      <c r="AC110" s="37">
        <f>IF(OR(O110="",V110=""),"",V110-O110)</f>
        <v/>
      </c>
      <c r="AD110" s="37">
        <f>IF(OR(P110="",W110=""),"",W110-P110)</f>
        <v/>
      </c>
      <c r="AE110" s="37">
        <f>IF(OR(Q110="",X110=""),"",X110-Q110)</f>
        <v/>
      </c>
      <c r="AF110" s="37">
        <f>IF(OR(R110="",Y110=""),"",Y110-R110)</f>
        <v/>
      </c>
      <c r="AG110" s="37">
        <f>IF(OR(S110="",Z110=""),"",Z110-S110)</f>
        <v/>
      </c>
      <c r="AH110" s="37">
        <f>IF(OR(T110="",AA110=""),"",AA110-T110)</f>
        <v/>
      </c>
      <c r="AI110" s="37">
        <f>IF(OR(U110="",AB110=""),"",AB110-U110)</f>
        <v/>
      </c>
      <c r="AJ110" s="30">
        <f>IFERROR(IF($G110&lt;&gt;"",INDEX($V$4:$AB$4,MATCH(MIN($V110:$AB110),$V110:$AB110,0)),IF($D110&lt;&gt;"",INDEX($O$4:$U$4,MATCH(MIN($O110:$U110),$O110:$U110,0)),"")),"")</f>
        <v/>
      </c>
      <c r="AK110" s="30">
        <f>IFERROR(IF($G110&lt;&gt;"",INDEX($V$4:$AB$4,MATCH(SMALL($V110:$AB110,2),$V110:$AB110,0)),IF($D110&lt;&gt;"",INDEX($O$4:$U$4,MATCH(SMALL($O110:$U110,2),$O110:$U110,0)),"")),"")</f>
        <v/>
      </c>
      <c r="AL110" s="30">
        <f>IF(OR(G110="",Settings!$B$17=""),"",IF(OR(ABS(G110-Settings!$B$5)&lt;=Settings!$B$17,ABS(G110-Settings!$B$6)&lt;=Settings!$B$17,ABS(G110-Settings!$B$7)&lt;=Settings!$B$17),"NEAR CUT",""))</f>
        <v/>
      </c>
      <c r="AM110" s="31">
        <f>IF('Post-Test Entry'!$AR110&lt;&gt;"","Post essay: code "&amp;'Post-Test Entry'!$AR110,IF('Pre-Test Entry'!$AR110&lt;&gt;"","Pre essay: code "&amp;'Pre-Test Entry'!$AR110,""))</f>
        <v/>
      </c>
      <c r="AN110" s="39">
        <f>IFERROR(IF($AJ110="","",INDEX(Settings!$D$28:$D$34,MATCH($AJ110,Settings!$A$28:$A$34,0))),"")</f>
        <v/>
      </c>
      <c r="AP110">
        <f>IF(D110="","",D110^2)</f>
        <v/>
      </c>
      <c r="AQ110">
        <f>IF(G110="","",G110^2)</f>
        <v/>
      </c>
    </row>
    <row r="111">
      <c r="A111" s="30">
        <f>IF(Roster!$A111="","",Roster!$A111)</f>
        <v/>
      </c>
      <c r="B111" s="31">
        <f>IF(Roster!$B111&lt;&gt;"",Roster!$C111&amp;" "&amp;Roster!$B111,"")</f>
        <v/>
      </c>
      <c r="C111" s="30">
        <f>IF(Roster!$B111&lt;&gt;"",Roster!$D111,"")</f>
        <v/>
      </c>
      <c r="D111" s="16">
        <f>IF(AND(Roster!$B111&lt;&gt;"",COUNT('Pre-Test Entry'!$C111:$AQ111)&gt;0),'Pre-Test Entry'!$AS111,"")</f>
        <v/>
      </c>
      <c r="E111" s="37">
        <f>IFERROR(D111/Settings!$B$8,"")</f>
        <v/>
      </c>
      <c r="F111" s="31">
        <f>IF(D111="","",IF(D111&gt;=Settings!$B$7,"Distinguished Learner",IF(D111&gt;=Settings!$B$6,"Proficient Learner",IF(D111&gt;=Settings!$B$5,"Developing Learner","Beginning Learner"))))</f>
        <v/>
      </c>
      <c r="G111" s="16">
        <f>IF(AND(Roster!$B111&lt;&gt;"",COUNT('Post-Test Entry'!$C111:$AQ111)&gt;0),'Post-Test Entry'!$AS111,"")</f>
        <v/>
      </c>
      <c r="H111" s="37">
        <f>IFERROR(G111/Settings!$B$8,"")</f>
        <v/>
      </c>
      <c r="I111" s="31">
        <f>IF(G111="","",IF(G111&gt;=Settings!$B$7,"Distinguished Learner",IF(G111&gt;=Settings!$B$6,"Proficient Learner",IF(G111&gt;=Settings!$B$5,"Developing Learner","Beginning Learner"))))</f>
        <v/>
      </c>
      <c r="J111" s="16">
        <f>IF(OR(D111="",G111=""),"",G111-D111)</f>
        <v/>
      </c>
      <c r="K111" s="37">
        <f>IFERROR(IF(OR(J111="",J111&lt;=0),"",(G111-D111)/(Settings!$B$8-D111)),"")</f>
        <v/>
      </c>
      <c r="L111" s="38">
        <f>IFERROR(IF(J111="","",(G111-D111)/(Settings!$B$17*SQRT(2))),"")</f>
        <v/>
      </c>
      <c r="M111" s="30">
        <f>IF(L111="","",IF(ABS(L111)&gt;=1.96,"Yes","No"))</f>
        <v/>
      </c>
      <c r="N111" s="30">
        <f>IF(J111="","",IF(J111&gt;=Settings!$B$15,"Yes","No"))</f>
        <v/>
      </c>
      <c r="O111" s="37">
        <f>IFERROR(IF($D111="","",SUMIF('Pre-Test Entry'!$C$3:$AQ$3,Settings!$A$28,'Pre-Test Entry'!$C111:$AQ111)/Settings!$C$28),"")</f>
        <v/>
      </c>
      <c r="P111" s="37">
        <f>IFERROR(IF($D111="","",SUMIF('Pre-Test Entry'!$C$3:$AQ$3,Settings!$A$29,'Pre-Test Entry'!$C111:$AQ111)/Settings!$C$29),"")</f>
        <v/>
      </c>
      <c r="Q111" s="37">
        <f>IFERROR(IF($D111="","",SUMIF('Pre-Test Entry'!$C$3:$AQ$3,Settings!$A$30,'Pre-Test Entry'!$C111:$AQ111)/Settings!$C$30),"")</f>
        <v/>
      </c>
      <c r="R111" s="37">
        <f>IFERROR(IF($D111="","",SUMIF('Pre-Test Entry'!$C$3:$AQ$3,Settings!$A$31,'Pre-Test Entry'!$C111:$AQ111)/Settings!$C$31),"")</f>
        <v/>
      </c>
      <c r="S111" s="37">
        <f>IFERROR(IF($D111="","",SUMIF('Pre-Test Entry'!$C$3:$AQ$3,Settings!$A$32,'Pre-Test Entry'!$C111:$AQ111)/Settings!$C$32),"")</f>
        <v/>
      </c>
      <c r="T111" s="37">
        <f>IFERROR(IF($D111="","",SUMIF('Pre-Test Entry'!$C$3:$AQ$3,Settings!$A$33,'Pre-Test Entry'!$C111:$AQ111)/Settings!$C$33),"")</f>
        <v/>
      </c>
      <c r="U111" s="37">
        <f>IFERROR(IF($D111="","",SUMIF('Pre-Test Entry'!$C$3:$AQ$3,Settings!$A$34,'Pre-Test Entry'!$C111:$AQ111)/Settings!$C$34),"")</f>
        <v/>
      </c>
      <c r="V111" s="37">
        <f>IFERROR(IF($G111="","",SUMIF('Post-Test Entry'!$C$3:$AQ$3,Settings!$A$28,'Post-Test Entry'!$C111:$AQ111)/Settings!$C$28),"")</f>
        <v/>
      </c>
      <c r="W111" s="37">
        <f>IFERROR(IF($G111="","",SUMIF('Post-Test Entry'!$C$3:$AQ$3,Settings!$A$29,'Post-Test Entry'!$C111:$AQ111)/Settings!$C$29),"")</f>
        <v/>
      </c>
      <c r="X111" s="37">
        <f>IFERROR(IF($G111="","",SUMIF('Post-Test Entry'!$C$3:$AQ$3,Settings!$A$30,'Post-Test Entry'!$C111:$AQ111)/Settings!$C$30),"")</f>
        <v/>
      </c>
      <c r="Y111" s="37">
        <f>IFERROR(IF($G111="","",SUMIF('Post-Test Entry'!$C$3:$AQ$3,Settings!$A$31,'Post-Test Entry'!$C111:$AQ111)/Settings!$C$31),"")</f>
        <v/>
      </c>
      <c r="Z111" s="37">
        <f>IFERROR(IF($G111="","",SUMIF('Post-Test Entry'!$C$3:$AQ$3,Settings!$A$32,'Post-Test Entry'!$C111:$AQ111)/Settings!$C$32),"")</f>
        <v/>
      </c>
      <c r="AA111" s="37">
        <f>IFERROR(IF($G111="","",SUMIF('Post-Test Entry'!$C$3:$AQ$3,Settings!$A$33,'Post-Test Entry'!$C111:$AQ111)/Settings!$C$33),"")</f>
        <v/>
      </c>
      <c r="AB111" s="37">
        <f>IFERROR(IF($G111="","",SUMIF('Post-Test Entry'!$C$3:$AQ$3,Settings!$A$34,'Post-Test Entry'!$C111:$AQ111)/Settings!$C$34),"")</f>
        <v/>
      </c>
      <c r="AC111" s="37">
        <f>IF(OR(O111="",V111=""),"",V111-O111)</f>
        <v/>
      </c>
      <c r="AD111" s="37">
        <f>IF(OR(P111="",W111=""),"",W111-P111)</f>
        <v/>
      </c>
      <c r="AE111" s="37">
        <f>IF(OR(Q111="",X111=""),"",X111-Q111)</f>
        <v/>
      </c>
      <c r="AF111" s="37">
        <f>IF(OR(R111="",Y111=""),"",Y111-R111)</f>
        <v/>
      </c>
      <c r="AG111" s="37">
        <f>IF(OR(S111="",Z111=""),"",Z111-S111)</f>
        <v/>
      </c>
      <c r="AH111" s="37">
        <f>IF(OR(T111="",AA111=""),"",AA111-T111)</f>
        <v/>
      </c>
      <c r="AI111" s="37">
        <f>IF(OR(U111="",AB111=""),"",AB111-U111)</f>
        <v/>
      </c>
      <c r="AJ111" s="30">
        <f>IFERROR(IF($G111&lt;&gt;"",INDEX($V$4:$AB$4,MATCH(MIN($V111:$AB111),$V111:$AB111,0)),IF($D111&lt;&gt;"",INDEX($O$4:$U$4,MATCH(MIN($O111:$U111),$O111:$U111,0)),"")),"")</f>
        <v/>
      </c>
      <c r="AK111" s="30">
        <f>IFERROR(IF($G111&lt;&gt;"",INDEX($V$4:$AB$4,MATCH(SMALL($V111:$AB111,2),$V111:$AB111,0)),IF($D111&lt;&gt;"",INDEX($O$4:$U$4,MATCH(SMALL($O111:$U111,2),$O111:$U111,0)),"")),"")</f>
        <v/>
      </c>
      <c r="AL111" s="30">
        <f>IF(OR(G111="",Settings!$B$17=""),"",IF(OR(ABS(G111-Settings!$B$5)&lt;=Settings!$B$17,ABS(G111-Settings!$B$6)&lt;=Settings!$B$17,ABS(G111-Settings!$B$7)&lt;=Settings!$B$17),"NEAR CUT",""))</f>
        <v/>
      </c>
      <c r="AM111" s="31">
        <f>IF('Post-Test Entry'!$AR111&lt;&gt;"","Post essay: code "&amp;'Post-Test Entry'!$AR111,IF('Pre-Test Entry'!$AR111&lt;&gt;"","Pre essay: code "&amp;'Pre-Test Entry'!$AR111,""))</f>
        <v/>
      </c>
      <c r="AN111" s="39">
        <f>IFERROR(IF($AJ111="","",INDEX(Settings!$D$28:$D$34,MATCH($AJ111,Settings!$A$28:$A$34,0))),"")</f>
        <v/>
      </c>
      <c r="AP111">
        <f>IF(D111="","",D111^2)</f>
        <v/>
      </c>
      <c r="AQ111">
        <f>IF(G111="","",G111^2)</f>
        <v/>
      </c>
    </row>
    <row r="112">
      <c r="A112" s="30">
        <f>IF(Roster!$A112="","",Roster!$A112)</f>
        <v/>
      </c>
      <c r="B112" s="31">
        <f>IF(Roster!$B112&lt;&gt;"",Roster!$C112&amp;" "&amp;Roster!$B112,"")</f>
        <v/>
      </c>
      <c r="C112" s="30">
        <f>IF(Roster!$B112&lt;&gt;"",Roster!$D112,"")</f>
        <v/>
      </c>
      <c r="D112" s="16">
        <f>IF(AND(Roster!$B112&lt;&gt;"",COUNT('Pre-Test Entry'!$C112:$AQ112)&gt;0),'Pre-Test Entry'!$AS112,"")</f>
        <v/>
      </c>
      <c r="E112" s="37">
        <f>IFERROR(D112/Settings!$B$8,"")</f>
        <v/>
      </c>
      <c r="F112" s="31">
        <f>IF(D112="","",IF(D112&gt;=Settings!$B$7,"Distinguished Learner",IF(D112&gt;=Settings!$B$6,"Proficient Learner",IF(D112&gt;=Settings!$B$5,"Developing Learner","Beginning Learner"))))</f>
        <v/>
      </c>
      <c r="G112" s="16">
        <f>IF(AND(Roster!$B112&lt;&gt;"",COUNT('Post-Test Entry'!$C112:$AQ112)&gt;0),'Post-Test Entry'!$AS112,"")</f>
        <v/>
      </c>
      <c r="H112" s="37">
        <f>IFERROR(G112/Settings!$B$8,"")</f>
        <v/>
      </c>
      <c r="I112" s="31">
        <f>IF(G112="","",IF(G112&gt;=Settings!$B$7,"Distinguished Learner",IF(G112&gt;=Settings!$B$6,"Proficient Learner",IF(G112&gt;=Settings!$B$5,"Developing Learner","Beginning Learner"))))</f>
        <v/>
      </c>
      <c r="J112" s="16">
        <f>IF(OR(D112="",G112=""),"",G112-D112)</f>
        <v/>
      </c>
      <c r="K112" s="37">
        <f>IFERROR(IF(OR(J112="",J112&lt;=0),"",(G112-D112)/(Settings!$B$8-D112)),"")</f>
        <v/>
      </c>
      <c r="L112" s="38">
        <f>IFERROR(IF(J112="","",(G112-D112)/(Settings!$B$17*SQRT(2))),"")</f>
        <v/>
      </c>
      <c r="M112" s="30">
        <f>IF(L112="","",IF(ABS(L112)&gt;=1.96,"Yes","No"))</f>
        <v/>
      </c>
      <c r="N112" s="30">
        <f>IF(J112="","",IF(J112&gt;=Settings!$B$15,"Yes","No"))</f>
        <v/>
      </c>
      <c r="O112" s="37">
        <f>IFERROR(IF($D112="","",SUMIF('Pre-Test Entry'!$C$3:$AQ$3,Settings!$A$28,'Pre-Test Entry'!$C112:$AQ112)/Settings!$C$28),"")</f>
        <v/>
      </c>
      <c r="P112" s="37">
        <f>IFERROR(IF($D112="","",SUMIF('Pre-Test Entry'!$C$3:$AQ$3,Settings!$A$29,'Pre-Test Entry'!$C112:$AQ112)/Settings!$C$29),"")</f>
        <v/>
      </c>
      <c r="Q112" s="37">
        <f>IFERROR(IF($D112="","",SUMIF('Pre-Test Entry'!$C$3:$AQ$3,Settings!$A$30,'Pre-Test Entry'!$C112:$AQ112)/Settings!$C$30),"")</f>
        <v/>
      </c>
      <c r="R112" s="37">
        <f>IFERROR(IF($D112="","",SUMIF('Pre-Test Entry'!$C$3:$AQ$3,Settings!$A$31,'Pre-Test Entry'!$C112:$AQ112)/Settings!$C$31),"")</f>
        <v/>
      </c>
      <c r="S112" s="37">
        <f>IFERROR(IF($D112="","",SUMIF('Pre-Test Entry'!$C$3:$AQ$3,Settings!$A$32,'Pre-Test Entry'!$C112:$AQ112)/Settings!$C$32),"")</f>
        <v/>
      </c>
      <c r="T112" s="37">
        <f>IFERROR(IF($D112="","",SUMIF('Pre-Test Entry'!$C$3:$AQ$3,Settings!$A$33,'Pre-Test Entry'!$C112:$AQ112)/Settings!$C$33),"")</f>
        <v/>
      </c>
      <c r="U112" s="37">
        <f>IFERROR(IF($D112="","",SUMIF('Pre-Test Entry'!$C$3:$AQ$3,Settings!$A$34,'Pre-Test Entry'!$C112:$AQ112)/Settings!$C$34),"")</f>
        <v/>
      </c>
      <c r="V112" s="37">
        <f>IFERROR(IF($G112="","",SUMIF('Post-Test Entry'!$C$3:$AQ$3,Settings!$A$28,'Post-Test Entry'!$C112:$AQ112)/Settings!$C$28),"")</f>
        <v/>
      </c>
      <c r="W112" s="37">
        <f>IFERROR(IF($G112="","",SUMIF('Post-Test Entry'!$C$3:$AQ$3,Settings!$A$29,'Post-Test Entry'!$C112:$AQ112)/Settings!$C$29),"")</f>
        <v/>
      </c>
      <c r="X112" s="37">
        <f>IFERROR(IF($G112="","",SUMIF('Post-Test Entry'!$C$3:$AQ$3,Settings!$A$30,'Post-Test Entry'!$C112:$AQ112)/Settings!$C$30),"")</f>
        <v/>
      </c>
      <c r="Y112" s="37">
        <f>IFERROR(IF($G112="","",SUMIF('Post-Test Entry'!$C$3:$AQ$3,Settings!$A$31,'Post-Test Entry'!$C112:$AQ112)/Settings!$C$31),"")</f>
        <v/>
      </c>
      <c r="Z112" s="37">
        <f>IFERROR(IF($G112="","",SUMIF('Post-Test Entry'!$C$3:$AQ$3,Settings!$A$32,'Post-Test Entry'!$C112:$AQ112)/Settings!$C$32),"")</f>
        <v/>
      </c>
      <c r="AA112" s="37">
        <f>IFERROR(IF($G112="","",SUMIF('Post-Test Entry'!$C$3:$AQ$3,Settings!$A$33,'Post-Test Entry'!$C112:$AQ112)/Settings!$C$33),"")</f>
        <v/>
      </c>
      <c r="AB112" s="37">
        <f>IFERROR(IF($G112="","",SUMIF('Post-Test Entry'!$C$3:$AQ$3,Settings!$A$34,'Post-Test Entry'!$C112:$AQ112)/Settings!$C$34),"")</f>
        <v/>
      </c>
      <c r="AC112" s="37">
        <f>IF(OR(O112="",V112=""),"",V112-O112)</f>
        <v/>
      </c>
      <c r="AD112" s="37">
        <f>IF(OR(P112="",W112=""),"",W112-P112)</f>
        <v/>
      </c>
      <c r="AE112" s="37">
        <f>IF(OR(Q112="",X112=""),"",X112-Q112)</f>
        <v/>
      </c>
      <c r="AF112" s="37">
        <f>IF(OR(R112="",Y112=""),"",Y112-R112)</f>
        <v/>
      </c>
      <c r="AG112" s="37">
        <f>IF(OR(S112="",Z112=""),"",Z112-S112)</f>
        <v/>
      </c>
      <c r="AH112" s="37">
        <f>IF(OR(T112="",AA112=""),"",AA112-T112)</f>
        <v/>
      </c>
      <c r="AI112" s="37">
        <f>IF(OR(U112="",AB112=""),"",AB112-U112)</f>
        <v/>
      </c>
      <c r="AJ112" s="30">
        <f>IFERROR(IF($G112&lt;&gt;"",INDEX($V$4:$AB$4,MATCH(MIN($V112:$AB112),$V112:$AB112,0)),IF($D112&lt;&gt;"",INDEX($O$4:$U$4,MATCH(MIN($O112:$U112),$O112:$U112,0)),"")),"")</f>
        <v/>
      </c>
      <c r="AK112" s="30">
        <f>IFERROR(IF($G112&lt;&gt;"",INDEX($V$4:$AB$4,MATCH(SMALL($V112:$AB112,2),$V112:$AB112,0)),IF($D112&lt;&gt;"",INDEX($O$4:$U$4,MATCH(SMALL($O112:$U112,2),$O112:$U112,0)),"")),"")</f>
        <v/>
      </c>
      <c r="AL112" s="30">
        <f>IF(OR(G112="",Settings!$B$17=""),"",IF(OR(ABS(G112-Settings!$B$5)&lt;=Settings!$B$17,ABS(G112-Settings!$B$6)&lt;=Settings!$B$17,ABS(G112-Settings!$B$7)&lt;=Settings!$B$17),"NEAR CUT",""))</f>
        <v/>
      </c>
      <c r="AM112" s="31">
        <f>IF('Post-Test Entry'!$AR112&lt;&gt;"","Post essay: code "&amp;'Post-Test Entry'!$AR112,IF('Pre-Test Entry'!$AR112&lt;&gt;"","Pre essay: code "&amp;'Pre-Test Entry'!$AR112,""))</f>
        <v/>
      </c>
      <c r="AN112" s="39">
        <f>IFERROR(IF($AJ112="","",INDEX(Settings!$D$28:$D$34,MATCH($AJ112,Settings!$A$28:$A$34,0))),"")</f>
        <v/>
      </c>
      <c r="AP112">
        <f>IF(D112="","",D112^2)</f>
        <v/>
      </c>
      <c r="AQ112">
        <f>IF(G112="","",G112^2)</f>
        <v/>
      </c>
    </row>
    <row r="113">
      <c r="A113" s="30">
        <f>IF(Roster!$A113="","",Roster!$A113)</f>
        <v/>
      </c>
      <c r="B113" s="31">
        <f>IF(Roster!$B113&lt;&gt;"",Roster!$C113&amp;" "&amp;Roster!$B113,"")</f>
        <v/>
      </c>
      <c r="C113" s="30">
        <f>IF(Roster!$B113&lt;&gt;"",Roster!$D113,"")</f>
        <v/>
      </c>
      <c r="D113" s="16">
        <f>IF(AND(Roster!$B113&lt;&gt;"",COUNT('Pre-Test Entry'!$C113:$AQ113)&gt;0),'Pre-Test Entry'!$AS113,"")</f>
        <v/>
      </c>
      <c r="E113" s="37">
        <f>IFERROR(D113/Settings!$B$8,"")</f>
        <v/>
      </c>
      <c r="F113" s="31">
        <f>IF(D113="","",IF(D113&gt;=Settings!$B$7,"Distinguished Learner",IF(D113&gt;=Settings!$B$6,"Proficient Learner",IF(D113&gt;=Settings!$B$5,"Developing Learner","Beginning Learner"))))</f>
        <v/>
      </c>
      <c r="G113" s="16">
        <f>IF(AND(Roster!$B113&lt;&gt;"",COUNT('Post-Test Entry'!$C113:$AQ113)&gt;0),'Post-Test Entry'!$AS113,"")</f>
        <v/>
      </c>
      <c r="H113" s="37">
        <f>IFERROR(G113/Settings!$B$8,"")</f>
        <v/>
      </c>
      <c r="I113" s="31">
        <f>IF(G113="","",IF(G113&gt;=Settings!$B$7,"Distinguished Learner",IF(G113&gt;=Settings!$B$6,"Proficient Learner",IF(G113&gt;=Settings!$B$5,"Developing Learner","Beginning Learner"))))</f>
        <v/>
      </c>
      <c r="J113" s="16">
        <f>IF(OR(D113="",G113=""),"",G113-D113)</f>
        <v/>
      </c>
      <c r="K113" s="37">
        <f>IFERROR(IF(OR(J113="",J113&lt;=0),"",(G113-D113)/(Settings!$B$8-D113)),"")</f>
        <v/>
      </c>
      <c r="L113" s="38">
        <f>IFERROR(IF(J113="","",(G113-D113)/(Settings!$B$17*SQRT(2))),"")</f>
        <v/>
      </c>
      <c r="M113" s="30">
        <f>IF(L113="","",IF(ABS(L113)&gt;=1.96,"Yes","No"))</f>
        <v/>
      </c>
      <c r="N113" s="30">
        <f>IF(J113="","",IF(J113&gt;=Settings!$B$15,"Yes","No"))</f>
        <v/>
      </c>
      <c r="O113" s="37">
        <f>IFERROR(IF($D113="","",SUMIF('Pre-Test Entry'!$C$3:$AQ$3,Settings!$A$28,'Pre-Test Entry'!$C113:$AQ113)/Settings!$C$28),"")</f>
        <v/>
      </c>
      <c r="P113" s="37">
        <f>IFERROR(IF($D113="","",SUMIF('Pre-Test Entry'!$C$3:$AQ$3,Settings!$A$29,'Pre-Test Entry'!$C113:$AQ113)/Settings!$C$29),"")</f>
        <v/>
      </c>
      <c r="Q113" s="37">
        <f>IFERROR(IF($D113="","",SUMIF('Pre-Test Entry'!$C$3:$AQ$3,Settings!$A$30,'Pre-Test Entry'!$C113:$AQ113)/Settings!$C$30),"")</f>
        <v/>
      </c>
      <c r="R113" s="37">
        <f>IFERROR(IF($D113="","",SUMIF('Pre-Test Entry'!$C$3:$AQ$3,Settings!$A$31,'Pre-Test Entry'!$C113:$AQ113)/Settings!$C$31),"")</f>
        <v/>
      </c>
      <c r="S113" s="37">
        <f>IFERROR(IF($D113="","",SUMIF('Pre-Test Entry'!$C$3:$AQ$3,Settings!$A$32,'Pre-Test Entry'!$C113:$AQ113)/Settings!$C$32),"")</f>
        <v/>
      </c>
      <c r="T113" s="37">
        <f>IFERROR(IF($D113="","",SUMIF('Pre-Test Entry'!$C$3:$AQ$3,Settings!$A$33,'Pre-Test Entry'!$C113:$AQ113)/Settings!$C$33),"")</f>
        <v/>
      </c>
      <c r="U113" s="37">
        <f>IFERROR(IF($D113="","",SUMIF('Pre-Test Entry'!$C$3:$AQ$3,Settings!$A$34,'Pre-Test Entry'!$C113:$AQ113)/Settings!$C$34),"")</f>
        <v/>
      </c>
      <c r="V113" s="37">
        <f>IFERROR(IF($G113="","",SUMIF('Post-Test Entry'!$C$3:$AQ$3,Settings!$A$28,'Post-Test Entry'!$C113:$AQ113)/Settings!$C$28),"")</f>
        <v/>
      </c>
      <c r="W113" s="37">
        <f>IFERROR(IF($G113="","",SUMIF('Post-Test Entry'!$C$3:$AQ$3,Settings!$A$29,'Post-Test Entry'!$C113:$AQ113)/Settings!$C$29),"")</f>
        <v/>
      </c>
      <c r="X113" s="37">
        <f>IFERROR(IF($G113="","",SUMIF('Post-Test Entry'!$C$3:$AQ$3,Settings!$A$30,'Post-Test Entry'!$C113:$AQ113)/Settings!$C$30),"")</f>
        <v/>
      </c>
      <c r="Y113" s="37">
        <f>IFERROR(IF($G113="","",SUMIF('Post-Test Entry'!$C$3:$AQ$3,Settings!$A$31,'Post-Test Entry'!$C113:$AQ113)/Settings!$C$31),"")</f>
        <v/>
      </c>
      <c r="Z113" s="37">
        <f>IFERROR(IF($G113="","",SUMIF('Post-Test Entry'!$C$3:$AQ$3,Settings!$A$32,'Post-Test Entry'!$C113:$AQ113)/Settings!$C$32),"")</f>
        <v/>
      </c>
      <c r="AA113" s="37">
        <f>IFERROR(IF($G113="","",SUMIF('Post-Test Entry'!$C$3:$AQ$3,Settings!$A$33,'Post-Test Entry'!$C113:$AQ113)/Settings!$C$33),"")</f>
        <v/>
      </c>
      <c r="AB113" s="37">
        <f>IFERROR(IF($G113="","",SUMIF('Post-Test Entry'!$C$3:$AQ$3,Settings!$A$34,'Post-Test Entry'!$C113:$AQ113)/Settings!$C$34),"")</f>
        <v/>
      </c>
      <c r="AC113" s="37">
        <f>IF(OR(O113="",V113=""),"",V113-O113)</f>
        <v/>
      </c>
      <c r="AD113" s="37">
        <f>IF(OR(P113="",W113=""),"",W113-P113)</f>
        <v/>
      </c>
      <c r="AE113" s="37">
        <f>IF(OR(Q113="",X113=""),"",X113-Q113)</f>
        <v/>
      </c>
      <c r="AF113" s="37">
        <f>IF(OR(R113="",Y113=""),"",Y113-R113)</f>
        <v/>
      </c>
      <c r="AG113" s="37">
        <f>IF(OR(S113="",Z113=""),"",Z113-S113)</f>
        <v/>
      </c>
      <c r="AH113" s="37">
        <f>IF(OR(T113="",AA113=""),"",AA113-T113)</f>
        <v/>
      </c>
      <c r="AI113" s="37">
        <f>IF(OR(U113="",AB113=""),"",AB113-U113)</f>
        <v/>
      </c>
      <c r="AJ113" s="30">
        <f>IFERROR(IF($G113&lt;&gt;"",INDEX($V$4:$AB$4,MATCH(MIN($V113:$AB113),$V113:$AB113,0)),IF($D113&lt;&gt;"",INDEX($O$4:$U$4,MATCH(MIN($O113:$U113),$O113:$U113,0)),"")),"")</f>
        <v/>
      </c>
      <c r="AK113" s="30">
        <f>IFERROR(IF($G113&lt;&gt;"",INDEX($V$4:$AB$4,MATCH(SMALL($V113:$AB113,2),$V113:$AB113,0)),IF($D113&lt;&gt;"",INDEX($O$4:$U$4,MATCH(SMALL($O113:$U113,2),$O113:$U113,0)),"")),"")</f>
        <v/>
      </c>
      <c r="AL113" s="30">
        <f>IF(OR(G113="",Settings!$B$17=""),"",IF(OR(ABS(G113-Settings!$B$5)&lt;=Settings!$B$17,ABS(G113-Settings!$B$6)&lt;=Settings!$B$17,ABS(G113-Settings!$B$7)&lt;=Settings!$B$17),"NEAR CUT",""))</f>
        <v/>
      </c>
      <c r="AM113" s="31">
        <f>IF('Post-Test Entry'!$AR113&lt;&gt;"","Post essay: code "&amp;'Post-Test Entry'!$AR113,IF('Pre-Test Entry'!$AR113&lt;&gt;"","Pre essay: code "&amp;'Pre-Test Entry'!$AR113,""))</f>
        <v/>
      </c>
      <c r="AN113" s="39">
        <f>IFERROR(IF($AJ113="","",INDEX(Settings!$D$28:$D$34,MATCH($AJ113,Settings!$A$28:$A$34,0))),"")</f>
        <v/>
      </c>
      <c r="AP113">
        <f>IF(D113="","",D113^2)</f>
        <v/>
      </c>
      <c r="AQ113">
        <f>IF(G113="","",G113^2)</f>
        <v/>
      </c>
    </row>
    <row r="114">
      <c r="A114" s="30">
        <f>IF(Roster!$A114="","",Roster!$A114)</f>
        <v/>
      </c>
      <c r="B114" s="31">
        <f>IF(Roster!$B114&lt;&gt;"",Roster!$C114&amp;" "&amp;Roster!$B114,"")</f>
        <v/>
      </c>
      <c r="C114" s="30">
        <f>IF(Roster!$B114&lt;&gt;"",Roster!$D114,"")</f>
        <v/>
      </c>
      <c r="D114" s="16">
        <f>IF(AND(Roster!$B114&lt;&gt;"",COUNT('Pre-Test Entry'!$C114:$AQ114)&gt;0),'Pre-Test Entry'!$AS114,"")</f>
        <v/>
      </c>
      <c r="E114" s="37">
        <f>IFERROR(D114/Settings!$B$8,"")</f>
        <v/>
      </c>
      <c r="F114" s="31">
        <f>IF(D114="","",IF(D114&gt;=Settings!$B$7,"Distinguished Learner",IF(D114&gt;=Settings!$B$6,"Proficient Learner",IF(D114&gt;=Settings!$B$5,"Developing Learner","Beginning Learner"))))</f>
        <v/>
      </c>
      <c r="G114" s="16">
        <f>IF(AND(Roster!$B114&lt;&gt;"",COUNT('Post-Test Entry'!$C114:$AQ114)&gt;0),'Post-Test Entry'!$AS114,"")</f>
        <v/>
      </c>
      <c r="H114" s="37">
        <f>IFERROR(G114/Settings!$B$8,"")</f>
        <v/>
      </c>
      <c r="I114" s="31">
        <f>IF(G114="","",IF(G114&gt;=Settings!$B$7,"Distinguished Learner",IF(G114&gt;=Settings!$B$6,"Proficient Learner",IF(G114&gt;=Settings!$B$5,"Developing Learner","Beginning Learner"))))</f>
        <v/>
      </c>
      <c r="J114" s="16">
        <f>IF(OR(D114="",G114=""),"",G114-D114)</f>
        <v/>
      </c>
      <c r="K114" s="37">
        <f>IFERROR(IF(OR(J114="",J114&lt;=0),"",(G114-D114)/(Settings!$B$8-D114)),"")</f>
        <v/>
      </c>
      <c r="L114" s="38">
        <f>IFERROR(IF(J114="","",(G114-D114)/(Settings!$B$17*SQRT(2))),"")</f>
        <v/>
      </c>
      <c r="M114" s="30">
        <f>IF(L114="","",IF(ABS(L114)&gt;=1.96,"Yes","No"))</f>
        <v/>
      </c>
      <c r="N114" s="30">
        <f>IF(J114="","",IF(J114&gt;=Settings!$B$15,"Yes","No"))</f>
        <v/>
      </c>
      <c r="O114" s="37">
        <f>IFERROR(IF($D114="","",SUMIF('Pre-Test Entry'!$C$3:$AQ$3,Settings!$A$28,'Pre-Test Entry'!$C114:$AQ114)/Settings!$C$28),"")</f>
        <v/>
      </c>
      <c r="P114" s="37">
        <f>IFERROR(IF($D114="","",SUMIF('Pre-Test Entry'!$C$3:$AQ$3,Settings!$A$29,'Pre-Test Entry'!$C114:$AQ114)/Settings!$C$29),"")</f>
        <v/>
      </c>
      <c r="Q114" s="37">
        <f>IFERROR(IF($D114="","",SUMIF('Pre-Test Entry'!$C$3:$AQ$3,Settings!$A$30,'Pre-Test Entry'!$C114:$AQ114)/Settings!$C$30),"")</f>
        <v/>
      </c>
      <c r="R114" s="37">
        <f>IFERROR(IF($D114="","",SUMIF('Pre-Test Entry'!$C$3:$AQ$3,Settings!$A$31,'Pre-Test Entry'!$C114:$AQ114)/Settings!$C$31),"")</f>
        <v/>
      </c>
      <c r="S114" s="37">
        <f>IFERROR(IF($D114="","",SUMIF('Pre-Test Entry'!$C$3:$AQ$3,Settings!$A$32,'Pre-Test Entry'!$C114:$AQ114)/Settings!$C$32),"")</f>
        <v/>
      </c>
      <c r="T114" s="37">
        <f>IFERROR(IF($D114="","",SUMIF('Pre-Test Entry'!$C$3:$AQ$3,Settings!$A$33,'Pre-Test Entry'!$C114:$AQ114)/Settings!$C$33),"")</f>
        <v/>
      </c>
      <c r="U114" s="37">
        <f>IFERROR(IF($D114="","",SUMIF('Pre-Test Entry'!$C$3:$AQ$3,Settings!$A$34,'Pre-Test Entry'!$C114:$AQ114)/Settings!$C$34),"")</f>
        <v/>
      </c>
      <c r="V114" s="37">
        <f>IFERROR(IF($G114="","",SUMIF('Post-Test Entry'!$C$3:$AQ$3,Settings!$A$28,'Post-Test Entry'!$C114:$AQ114)/Settings!$C$28),"")</f>
        <v/>
      </c>
      <c r="W114" s="37">
        <f>IFERROR(IF($G114="","",SUMIF('Post-Test Entry'!$C$3:$AQ$3,Settings!$A$29,'Post-Test Entry'!$C114:$AQ114)/Settings!$C$29),"")</f>
        <v/>
      </c>
      <c r="X114" s="37">
        <f>IFERROR(IF($G114="","",SUMIF('Post-Test Entry'!$C$3:$AQ$3,Settings!$A$30,'Post-Test Entry'!$C114:$AQ114)/Settings!$C$30),"")</f>
        <v/>
      </c>
      <c r="Y114" s="37">
        <f>IFERROR(IF($G114="","",SUMIF('Post-Test Entry'!$C$3:$AQ$3,Settings!$A$31,'Post-Test Entry'!$C114:$AQ114)/Settings!$C$31),"")</f>
        <v/>
      </c>
      <c r="Z114" s="37">
        <f>IFERROR(IF($G114="","",SUMIF('Post-Test Entry'!$C$3:$AQ$3,Settings!$A$32,'Post-Test Entry'!$C114:$AQ114)/Settings!$C$32),"")</f>
        <v/>
      </c>
      <c r="AA114" s="37">
        <f>IFERROR(IF($G114="","",SUMIF('Post-Test Entry'!$C$3:$AQ$3,Settings!$A$33,'Post-Test Entry'!$C114:$AQ114)/Settings!$C$33),"")</f>
        <v/>
      </c>
      <c r="AB114" s="37">
        <f>IFERROR(IF($G114="","",SUMIF('Post-Test Entry'!$C$3:$AQ$3,Settings!$A$34,'Post-Test Entry'!$C114:$AQ114)/Settings!$C$34),"")</f>
        <v/>
      </c>
      <c r="AC114" s="37">
        <f>IF(OR(O114="",V114=""),"",V114-O114)</f>
        <v/>
      </c>
      <c r="AD114" s="37">
        <f>IF(OR(P114="",W114=""),"",W114-P114)</f>
        <v/>
      </c>
      <c r="AE114" s="37">
        <f>IF(OR(Q114="",X114=""),"",X114-Q114)</f>
        <v/>
      </c>
      <c r="AF114" s="37">
        <f>IF(OR(R114="",Y114=""),"",Y114-R114)</f>
        <v/>
      </c>
      <c r="AG114" s="37">
        <f>IF(OR(S114="",Z114=""),"",Z114-S114)</f>
        <v/>
      </c>
      <c r="AH114" s="37">
        <f>IF(OR(T114="",AA114=""),"",AA114-T114)</f>
        <v/>
      </c>
      <c r="AI114" s="37">
        <f>IF(OR(U114="",AB114=""),"",AB114-U114)</f>
        <v/>
      </c>
      <c r="AJ114" s="30">
        <f>IFERROR(IF($G114&lt;&gt;"",INDEX($V$4:$AB$4,MATCH(MIN($V114:$AB114),$V114:$AB114,0)),IF($D114&lt;&gt;"",INDEX($O$4:$U$4,MATCH(MIN($O114:$U114),$O114:$U114,0)),"")),"")</f>
        <v/>
      </c>
      <c r="AK114" s="30">
        <f>IFERROR(IF($G114&lt;&gt;"",INDEX($V$4:$AB$4,MATCH(SMALL($V114:$AB114,2),$V114:$AB114,0)),IF($D114&lt;&gt;"",INDEX($O$4:$U$4,MATCH(SMALL($O114:$U114,2),$O114:$U114,0)),"")),"")</f>
        <v/>
      </c>
      <c r="AL114" s="30">
        <f>IF(OR(G114="",Settings!$B$17=""),"",IF(OR(ABS(G114-Settings!$B$5)&lt;=Settings!$B$17,ABS(G114-Settings!$B$6)&lt;=Settings!$B$17,ABS(G114-Settings!$B$7)&lt;=Settings!$B$17),"NEAR CUT",""))</f>
        <v/>
      </c>
      <c r="AM114" s="31">
        <f>IF('Post-Test Entry'!$AR114&lt;&gt;"","Post essay: code "&amp;'Post-Test Entry'!$AR114,IF('Pre-Test Entry'!$AR114&lt;&gt;"","Pre essay: code "&amp;'Pre-Test Entry'!$AR114,""))</f>
        <v/>
      </c>
      <c r="AN114" s="39">
        <f>IFERROR(IF($AJ114="","",INDEX(Settings!$D$28:$D$34,MATCH($AJ114,Settings!$A$28:$A$34,0))),"")</f>
        <v/>
      </c>
      <c r="AP114">
        <f>IF(D114="","",D114^2)</f>
        <v/>
      </c>
      <c r="AQ114">
        <f>IF(G114="","",G114^2)</f>
        <v/>
      </c>
    </row>
    <row r="115">
      <c r="A115" s="30">
        <f>IF(Roster!$A115="","",Roster!$A115)</f>
        <v/>
      </c>
      <c r="B115" s="31">
        <f>IF(Roster!$B115&lt;&gt;"",Roster!$C115&amp;" "&amp;Roster!$B115,"")</f>
        <v/>
      </c>
      <c r="C115" s="30">
        <f>IF(Roster!$B115&lt;&gt;"",Roster!$D115,"")</f>
        <v/>
      </c>
      <c r="D115" s="16">
        <f>IF(AND(Roster!$B115&lt;&gt;"",COUNT('Pre-Test Entry'!$C115:$AQ115)&gt;0),'Pre-Test Entry'!$AS115,"")</f>
        <v/>
      </c>
      <c r="E115" s="37">
        <f>IFERROR(D115/Settings!$B$8,"")</f>
        <v/>
      </c>
      <c r="F115" s="31">
        <f>IF(D115="","",IF(D115&gt;=Settings!$B$7,"Distinguished Learner",IF(D115&gt;=Settings!$B$6,"Proficient Learner",IF(D115&gt;=Settings!$B$5,"Developing Learner","Beginning Learner"))))</f>
        <v/>
      </c>
      <c r="G115" s="16">
        <f>IF(AND(Roster!$B115&lt;&gt;"",COUNT('Post-Test Entry'!$C115:$AQ115)&gt;0),'Post-Test Entry'!$AS115,"")</f>
        <v/>
      </c>
      <c r="H115" s="37">
        <f>IFERROR(G115/Settings!$B$8,"")</f>
        <v/>
      </c>
      <c r="I115" s="31">
        <f>IF(G115="","",IF(G115&gt;=Settings!$B$7,"Distinguished Learner",IF(G115&gt;=Settings!$B$6,"Proficient Learner",IF(G115&gt;=Settings!$B$5,"Developing Learner","Beginning Learner"))))</f>
        <v/>
      </c>
      <c r="J115" s="16">
        <f>IF(OR(D115="",G115=""),"",G115-D115)</f>
        <v/>
      </c>
      <c r="K115" s="37">
        <f>IFERROR(IF(OR(J115="",J115&lt;=0),"",(G115-D115)/(Settings!$B$8-D115)),"")</f>
        <v/>
      </c>
      <c r="L115" s="38">
        <f>IFERROR(IF(J115="","",(G115-D115)/(Settings!$B$17*SQRT(2))),"")</f>
        <v/>
      </c>
      <c r="M115" s="30">
        <f>IF(L115="","",IF(ABS(L115)&gt;=1.96,"Yes","No"))</f>
        <v/>
      </c>
      <c r="N115" s="30">
        <f>IF(J115="","",IF(J115&gt;=Settings!$B$15,"Yes","No"))</f>
        <v/>
      </c>
      <c r="O115" s="37">
        <f>IFERROR(IF($D115="","",SUMIF('Pre-Test Entry'!$C$3:$AQ$3,Settings!$A$28,'Pre-Test Entry'!$C115:$AQ115)/Settings!$C$28),"")</f>
        <v/>
      </c>
      <c r="P115" s="37">
        <f>IFERROR(IF($D115="","",SUMIF('Pre-Test Entry'!$C$3:$AQ$3,Settings!$A$29,'Pre-Test Entry'!$C115:$AQ115)/Settings!$C$29),"")</f>
        <v/>
      </c>
      <c r="Q115" s="37">
        <f>IFERROR(IF($D115="","",SUMIF('Pre-Test Entry'!$C$3:$AQ$3,Settings!$A$30,'Pre-Test Entry'!$C115:$AQ115)/Settings!$C$30),"")</f>
        <v/>
      </c>
      <c r="R115" s="37">
        <f>IFERROR(IF($D115="","",SUMIF('Pre-Test Entry'!$C$3:$AQ$3,Settings!$A$31,'Pre-Test Entry'!$C115:$AQ115)/Settings!$C$31),"")</f>
        <v/>
      </c>
      <c r="S115" s="37">
        <f>IFERROR(IF($D115="","",SUMIF('Pre-Test Entry'!$C$3:$AQ$3,Settings!$A$32,'Pre-Test Entry'!$C115:$AQ115)/Settings!$C$32),"")</f>
        <v/>
      </c>
      <c r="T115" s="37">
        <f>IFERROR(IF($D115="","",SUMIF('Pre-Test Entry'!$C$3:$AQ$3,Settings!$A$33,'Pre-Test Entry'!$C115:$AQ115)/Settings!$C$33),"")</f>
        <v/>
      </c>
      <c r="U115" s="37">
        <f>IFERROR(IF($D115="","",SUMIF('Pre-Test Entry'!$C$3:$AQ$3,Settings!$A$34,'Pre-Test Entry'!$C115:$AQ115)/Settings!$C$34),"")</f>
        <v/>
      </c>
      <c r="V115" s="37">
        <f>IFERROR(IF($G115="","",SUMIF('Post-Test Entry'!$C$3:$AQ$3,Settings!$A$28,'Post-Test Entry'!$C115:$AQ115)/Settings!$C$28),"")</f>
        <v/>
      </c>
      <c r="W115" s="37">
        <f>IFERROR(IF($G115="","",SUMIF('Post-Test Entry'!$C$3:$AQ$3,Settings!$A$29,'Post-Test Entry'!$C115:$AQ115)/Settings!$C$29),"")</f>
        <v/>
      </c>
      <c r="X115" s="37">
        <f>IFERROR(IF($G115="","",SUMIF('Post-Test Entry'!$C$3:$AQ$3,Settings!$A$30,'Post-Test Entry'!$C115:$AQ115)/Settings!$C$30),"")</f>
        <v/>
      </c>
      <c r="Y115" s="37">
        <f>IFERROR(IF($G115="","",SUMIF('Post-Test Entry'!$C$3:$AQ$3,Settings!$A$31,'Post-Test Entry'!$C115:$AQ115)/Settings!$C$31),"")</f>
        <v/>
      </c>
      <c r="Z115" s="37">
        <f>IFERROR(IF($G115="","",SUMIF('Post-Test Entry'!$C$3:$AQ$3,Settings!$A$32,'Post-Test Entry'!$C115:$AQ115)/Settings!$C$32),"")</f>
        <v/>
      </c>
      <c r="AA115" s="37">
        <f>IFERROR(IF($G115="","",SUMIF('Post-Test Entry'!$C$3:$AQ$3,Settings!$A$33,'Post-Test Entry'!$C115:$AQ115)/Settings!$C$33),"")</f>
        <v/>
      </c>
      <c r="AB115" s="37">
        <f>IFERROR(IF($G115="","",SUMIF('Post-Test Entry'!$C$3:$AQ$3,Settings!$A$34,'Post-Test Entry'!$C115:$AQ115)/Settings!$C$34),"")</f>
        <v/>
      </c>
      <c r="AC115" s="37">
        <f>IF(OR(O115="",V115=""),"",V115-O115)</f>
        <v/>
      </c>
      <c r="AD115" s="37">
        <f>IF(OR(P115="",W115=""),"",W115-P115)</f>
        <v/>
      </c>
      <c r="AE115" s="37">
        <f>IF(OR(Q115="",X115=""),"",X115-Q115)</f>
        <v/>
      </c>
      <c r="AF115" s="37">
        <f>IF(OR(R115="",Y115=""),"",Y115-R115)</f>
        <v/>
      </c>
      <c r="AG115" s="37">
        <f>IF(OR(S115="",Z115=""),"",Z115-S115)</f>
        <v/>
      </c>
      <c r="AH115" s="37">
        <f>IF(OR(T115="",AA115=""),"",AA115-T115)</f>
        <v/>
      </c>
      <c r="AI115" s="37">
        <f>IF(OR(U115="",AB115=""),"",AB115-U115)</f>
        <v/>
      </c>
      <c r="AJ115" s="30">
        <f>IFERROR(IF($G115&lt;&gt;"",INDEX($V$4:$AB$4,MATCH(MIN($V115:$AB115),$V115:$AB115,0)),IF($D115&lt;&gt;"",INDEX($O$4:$U$4,MATCH(MIN($O115:$U115),$O115:$U115,0)),"")),"")</f>
        <v/>
      </c>
      <c r="AK115" s="30">
        <f>IFERROR(IF($G115&lt;&gt;"",INDEX($V$4:$AB$4,MATCH(SMALL($V115:$AB115,2),$V115:$AB115,0)),IF($D115&lt;&gt;"",INDEX($O$4:$U$4,MATCH(SMALL($O115:$U115,2),$O115:$U115,0)),"")),"")</f>
        <v/>
      </c>
      <c r="AL115" s="30">
        <f>IF(OR(G115="",Settings!$B$17=""),"",IF(OR(ABS(G115-Settings!$B$5)&lt;=Settings!$B$17,ABS(G115-Settings!$B$6)&lt;=Settings!$B$17,ABS(G115-Settings!$B$7)&lt;=Settings!$B$17),"NEAR CUT",""))</f>
        <v/>
      </c>
      <c r="AM115" s="31">
        <f>IF('Post-Test Entry'!$AR115&lt;&gt;"","Post essay: code "&amp;'Post-Test Entry'!$AR115,IF('Pre-Test Entry'!$AR115&lt;&gt;"","Pre essay: code "&amp;'Pre-Test Entry'!$AR115,""))</f>
        <v/>
      </c>
      <c r="AN115" s="39">
        <f>IFERROR(IF($AJ115="","",INDEX(Settings!$D$28:$D$34,MATCH($AJ115,Settings!$A$28:$A$34,0))),"")</f>
        <v/>
      </c>
      <c r="AP115">
        <f>IF(D115="","",D115^2)</f>
        <v/>
      </c>
      <c r="AQ115">
        <f>IF(G115="","",G115^2)</f>
        <v/>
      </c>
    </row>
    <row r="116">
      <c r="A116" s="30">
        <f>IF(Roster!$A116="","",Roster!$A116)</f>
        <v/>
      </c>
      <c r="B116" s="31">
        <f>IF(Roster!$B116&lt;&gt;"",Roster!$C116&amp;" "&amp;Roster!$B116,"")</f>
        <v/>
      </c>
      <c r="C116" s="30">
        <f>IF(Roster!$B116&lt;&gt;"",Roster!$D116,"")</f>
        <v/>
      </c>
      <c r="D116" s="16">
        <f>IF(AND(Roster!$B116&lt;&gt;"",COUNT('Pre-Test Entry'!$C116:$AQ116)&gt;0),'Pre-Test Entry'!$AS116,"")</f>
        <v/>
      </c>
      <c r="E116" s="37">
        <f>IFERROR(D116/Settings!$B$8,"")</f>
        <v/>
      </c>
      <c r="F116" s="31">
        <f>IF(D116="","",IF(D116&gt;=Settings!$B$7,"Distinguished Learner",IF(D116&gt;=Settings!$B$6,"Proficient Learner",IF(D116&gt;=Settings!$B$5,"Developing Learner","Beginning Learner"))))</f>
        <v/>
      </c>
      <c r="G116" s="16">
        <f>IF(AND(Roster!$B116&lt;&gt;"",COUNT('Post-Test Entry'!$C116:$AQ116)&gt;0),'Post-Test Entry'!$AS116,"")</f>
        <v/>
      </c>
      <c r="H116" s="37">
        <f>IFERROR(G116/Settings!$B$8,"")</f>
        <v/>
      </c>
      <c r="I116" s="31">
        <f>IF(G116="","",IF(G116&gt;=Settings!$B$7,"Distinguished Learner",IF(G116&gt;=Settings!$B$6,"Proficient Learner",IF(G116&gt;=Settings!$B$5,"Developing Learner","Beginning Learner"))))</f>
        <v/>
      </c>
      <c r="J116" s="16">
        <f>IF(OR(D116="",G116=""),"",G116-D116)</f>
        <v/>
      </c>
      <c r="K116" s="37">
        <f>IFERROR(IF(OR(J116="",J116&lt;=0),"",(G116-D116)/(Settings!$B$8-D116)),"")</f>
        <v/>
      </c>
      <c r="L116" s="38">
        <f>IFERROR(IF(J116="","",(G116-D116)/(Settings!$B$17*SQRT(2))),"")</f>
        <v/>
      </c>
      <c r="M116" s="30">
        <f>IF(L116="","",IF(ABS(L116)&gt;=1.96,"Yes","No"))</f>
        <v/>
      </c>
      <c r="N116" s="30">
        <f>IF(J116="","",IF(J116&gt;=Settings!$B$15,"Yes","No"))</f>
        <v/>
      </c>
      <c r="O116" s="37">
        <f>IFERROR(IF($D116="","",SUMIF('Pre-Test Entry'!$C$3:$AQ$3,Settings!$A$28,'Pre-Test Entry'!$C116:$AQ116)/Settings!$C$28),"")</f>
        <v/>
      </c>
      <c r="P116" s="37">
        <f>IFERROR(IF($D116="","",SUMIF('Pre-Test Entry'!$C$3:$AQ$3,Settings!$A$29,'Pre-Test Entry'!$C116:$AQ116)/Settings!$C$29),"")</f>
        <v/>
      </c>
      <c r="Q116" s="37">
        <f>IFERROR(IF($D116="","",SUMIF('Pre-Test Entry'!$C$3:$AQ$3,Settings!$A$30,'Pre-Test Entry'!$C116:$AQ116)/Settings!$C$30),"")</f>
        <v/>
      </c>
      <c r="R116" s="37">
        <f>IFERROR(IF($D116="","",SUMIF('Pre-Test Entry'!$C$3:$AQ$3,Settings!$A$31,'Pre-Test Entry'!$C116:$AQ116)/Settings!$C$31),"")</f>
        <v/>
      </c>
      <c r="S116" s="37">
        <f>IFERROR(IF($D116="","",SUMIF('Pre-Test Entry'!$C$3:$AQ$3,Settings!$A$32,'Pre-Test Entry'!$C116:$AQ116)/Settings!$C$32),"")</f>
        <v/>
      </c>
      <c r="T116" s="37">
        <f>IFERROR(IF($D116="","",SUMIF('Pre-Test Entry'!$C$3:$AQ$3,Settings!$A$33,'Pre-Test Entry'!$C116:$AQ116)/Settings!$C$33),"")</f>
        <v/>
      </c>
      <c r="U116" s="37">
        <f>IFERROR(IF($D116="","",SUMIF('Pre-Test Entry'!$C$3:$AQ$3,Settings!$A$34,'Pre-Test Entry'!$C116:$AQ116)/Settings!$C$34),"")</f>
        <v/>
      </c>
      <c r="V116" s="37">
        <f>IFERROR(IF($G116="","",SUMIF('Post-Test Entry'!$C$3:$AQ$3,Settings!$A$28,'Post-Test Entry'!$C116:$AQ116)/Settings!$C$28),"")</f>
        <v/>
      </c>
      <c r="W116" s="37">
        <f>IFERROR(IF($G116="","",SUMIF('Post-Test Entry'!$C$3:$AQ$3,Settings!$A$29,'Post-Test Entry'!$C116:$AQ116)/Settings!$C$29),"")</f>
        <v/>
      </c>
      <c r="X116" s="37">
        <f>IFERROR(IF($G116="","",SUMIF('Post-Test Entry'!$C$3:$AQ$3,Settings!$A$30,'Post-Test Entry'!$C116:$AQ116)/Settings!$C$30),"")</f>
        <v/>
      </c>
      <c r="Y116" s="37">
        <f>IFERROR(IF($G116="","",SUMIF('Post-Test Entry'!$C$3:$AQ$3,Settings!$A$31,'Post-Test Entry'!$C116:$AQ116)/Settings!$C$31),"")</f>
        <v/>
      </c>
      <c r="Z116" s="37">
        <f>IFERROR(IF($G116="","",SUMIF('Post-Test Entry'!$C$3:$AQ$3,Settings!$A$32,'Post-Test Entry'!$C116:$AQ116)/Settings!$C$32),"")</f>
        <v/>
      </c>
      <c r="AA116" s="37">
        <f>IFERROR(IF($G116="","",SUMIF('Post-Test Entry'!$C$3:$AQ$3,Settings!$A$33,'Post-Test Entry'!$C116:$AQ116)/Settings!$C$33),"")</f>
        <v/>
      </c>
      <c r="AB116" s="37">
        <f>IFERROR(IF($G116="","",SUMIF('Post-Test Entry'!$C$3:$AQ$3,Settings!$A$34,'Post-Test Entry'!$C116:$AQ116)/Settings!$C$34),"")</f>
        <v/>
      </c>
      <c r="AC116" s="37">
        <f>IF(OR(O116="",V116=""),"",V116-O116)</f>
        <v/>
      </c>
      <c r="AD116" s="37">
        <f>IF(OR(P116="",W116=""),"",W116-P116)</f>
        <v/>
      </c>
      <c r="AE116" s="37">
        <f>IF(OR(Q116="",X116=""),"",X116-Q116)</f>
        <v/>
      </c>
      <c r="AF116" s="37">
        <f>IF(OR(R116="",Y116=""),"",Y116-R116)</f>
        <v/>
      </c>
      <c r="AG116" s="37">
        <f>IF(OR(S116="",Z116=""),"",Z116-S116)</f>
        <v/>
      </c>
      <c r="AH116" s="37">
        <f>IF(OR(T116="",AA116=""),"",AA116-T116)</f>
        <v/>
      </c>
      <c r="AI116" s="37">
        <f>IF(OR(U116="",AB116=""),"",AB116-U116)</f>
        <v/>
      </c>
      <c r="AJ116" s="30">
        <f>IFERROR(IF($G116&lt;&gt;"",INDEX($V$4:$AB$4,MATCH(MIN($V116:$AB116),$V116:$AB116,0)),IF($D116&lt;&gt;"",INDEX($O$4:$U$4,MATCH(MIN($O116:$U116),$O116:$U116,0)),"")),"")</f>
        <v/>
      </c>
      <c r="AK116" s="30">
        <f>IFERROR(IF($G116&lt;&gt;"",INDEX($V$4:$AB$4,MATCH(SMALL($V116:$AB116,2),$V116:$AB116,0)),IF($D116&lt;&gt;"",INDEX($O$4:$U$4,MATCH(SMALL($O116:$U116,2),$O116:$U116,0)),"")),"")</f>
        <v/>
      </c>
      <c r="AL116" s="30">
        <f>IF(OR(G116="",Settings!$B$17=""),"",IF(OR(ABS(G116-Settings!$B$5)&lt;=Settings!$B$17,ABS(G116-Settings!$B$6)&lt;=Settings!$B$17,ABS(G116-Settings!$B$7)&lt;=Settings!$B$17),"NEAR CUT",""))</f>
        <v/>
      </c>
      <c r="AM116" s="31">
        <f>IF('Post-Test Entry'!$AR116&lt;&gt;"","Post essay: code "&amp;'Post-Test Entry'!$AR116,IF('Pre-Test Entry'!$AR116&lt;&gt;"","Pre essay: code "&amp;'Pre-Test Entry'!$AR116,""))</f>
        <v/>
      </c>
      <c r="AN116" s="39">
        <f>IFERROR(IF($AJ116="","",INDEX(Settings!$D$28:$D$34,MATCH($AJ116,Settings!$A$28:$A$34,0))),"")</f>
        <v/>
      </c>
      <c r="AP116">
        <f>IF(D116="","",D116^2)</f>
        <v/>
      </c>
      <c r="AQ116">
        <f>IF(G116="","",G116^2)</f>
        <v/>
      </c>
    </row>
    <row r="117">
      <c r="A117" s="30">
        <f>IF(Roster!$A117="","",Roster!$A117)</f>
        <v/>
      </c>
      <c r="B117" s="31">
        <f>IF(Roster!$B117&lt;&gt;"",Roster!$C117&amp;" "&amp;Roster!$B117,"")</f>
        <v/>
      </c>
      <c r="C117" s="30">
        <f>IF(Roster!$B117&lt;&gt;"",Roster!$D117,"")</f>
        <v/>
      </c>
      <c r="D117" s="16">
        <f>IF(AND(Roster!$B117&lt;&gt;"",COUNT('Pre-Test Entry'!$C117:$AQ117)&gt;0),'Pre-Test Entry'!$AS117,"")</f>
        <v/>
      </c>
      <c r="E117" s="37">
        <f>IFERROR(D117/Settings!$B$8,"")</f>
        <v/>
      </c>
      <c r="F117" s="31">
        <f>IF(D117="","",IF(D117&gt;=Settings!$B$7,"Distinguished Learner",IF(D117&gt;=Settings!$B$6,"Proficient Learner",IF(D117&gt;=Settings!$B$5,"Developing Learner","Beginning Learner"))))</f>
        <v/>
      </c>
      <c r="G117" s="16">
        <f>IF(AND(Roster!$B117&lt;&gt;"",COUNT('Post-Test Entry'!$C117:$AQ117)&gt;0),'Post-Test Entry'!$AS117,"")</f>
        <v/>
      </c>
      <c r="H117" s="37">
        <f>IFERROR(G117/Settings!$B$8,"")</f>
        <v/>
      </c>
      <c r="I117" s="31">
        <f>IF(G117="","",IF(G117&gt;=Settings!$B$7,"Distinguished Learner",IF(G117&gt;=Settings!$B$6,"Proficient Learner",IF(G117&gt;=Settings!$B$5,"Developing Learner","Beginning Learner"))))</f>
        <v/>
      </c>
      <c r="J117" s="16">
        <f>IF(OR(D117="",G117=""),"",G117-D117)</f>
        <v/>
      </c>
      <c r="K117" s="37">
        <f>IFERROR(IF(OR(J117="",J117&lt;=0),"",(G117-D117)/(Settings!$B$8-D117)),"")</f>
        <v/>
      </c>
      <c r="L117" s="38">
        <f>IFERROR(IF(J117="","",(G117-D117)/(Settings!$B$17*SQRT(2))),"")</f>
        <v/>
      </c>
      <c r="M117" s="30">
        <f>IF(L117="","",IF(ABS(L117)&gt;=1.96,"Yes","No"))</f>
        <v/>
      </c>
      <c r="N117" s="30">
        <f>IF(J117="","",IF(J117&gt;=Settings!$B$15,"Yes","No"))</f>
        <v/>
      </c>
      <c r="O117" s="37">
        <f>IFERROR(IF($D117="","",SUMIF('Pre-Test Entry'!$C$3:$AQ$3,Settings!$A$28,'Pre-Test Entry'!$C117:$AQ117)/Settings!$C$28),"")</f>
        <v/>
      </c>
      <c r="P117" s="37">
        <f>IFERROR(IF($D117="","",SUMIF('Pre-Test Entry'!$C$3:$AQ$3,Settings!$A$29,'Pre-Test Entry'!$C117:$AQ117)/Settings!$C$29),"")</f>
        <v/>
      </c>
      <c r="Q117" s="37">
        <f>IFERROR(IF($D117="","",SUMIF('Pre-Test Entry'!$C$3:$AQ$3,Settings!$A$30,'Pre-Test Entry'!$C117:$AQ117)/Settings!$C$30),"")</f>
        <v/>
      </c>
      <c r="R117" s="37">
        <f>IFERROR(IF($D117="","",SUMIF('Pre-Test Entry'!$C$3:$AQ$3,Settings!$A$31,'Pre-Test Entry'!$C117:$AQ117)/Settings!$C$31),"")</f>
        <v/>
      </c>
      <c r="S117" s="37">
        <f>IFERROR(IF($D117="","",SUMIF('Pre-Test Entry'!$C$3:$AQ$3,Settings!$A$32,'Pre-Test Entry'!$C117:$AQ117)/Settings!$C$32),"")</f>
        <v/>
      </c>
      <c r="T117" s="37">
        <f>IFERROR(IF($D117="","",SUMIF('Pre-Test Entry'!$C$3:$AQ$3,Settings!$A$33,'Pre-Test Entry'!$C117:$AQ117)/Settings!$C$33),"")</f>
        <v/>
      </c>
      <c r="U117" s="37">
        <f>IFERROR(IF($D117="","",SUMIF('Pre-Test Entry'!$C$3:$AQ$3,Settings!$A$34,'Pre-Test Entry'!$C117:$AQ117)/Settings!$C$34),"")</f>
        <v/>
      </c>
      <c r="V117" s="37">
        <f>IFERROR(IF($G117="","",SUMIF('Post-Test Entry'!$C$3:$AQ$3,Settings!$A$28,'Post-Test Entry'!$C117:$AQ117)/Settings!$C$28),"")</f>
        <v/>
      </c>
      <c r="W117" s="37">
        <f>IFERROR(IF($G117="","",SUMIF('Post-Test Entry'!$C$3:$AQ$3,Settings!$A$29,'Post-Test Entry'!$C117:$AQ117)/Settings!$C$29),"")</f>
        <v/>
      </c>
      <c r="X117" s="37">
        <f>IFERROR(IF($G117="","",SUMIF('Post-Test Entry'!$C$3:$AQ$3,Settings!$A$30,'Post-Test Entry'!$C117:$AQ117)/Settings!$C$30),"")</f>
        <v/>
      </c>
      <c r="Y117" s="37">
        <f>IFERROR(IF($G117="","",SUMIF('Post-Test Entry'!$C$3:$AQ$3,Settings!$A$31,'Post-Test Entry'!$C117:$AQ117)/Settings!$C$31),"")</f>
        <v/>
      </c>
      <c r="Z117" s="37">
        <f>IFERROR(IF($G117="","",SUMIF('Post-Test Entry'!$C$3:$AQ$3,Settings!$A$32,'Post-Test Entry'!$C117:$AQ117)/Settings!$C$32),"")</f>
        <v/>
      </c>
      <c r="AA117" s="37">
        <f>IFERROR(IF($G117="","",SUMIF('Post-Test Entry'!$C$3:$AQ$3,Settings!$A$33,'Post-Test Entry'!$C117:$AQ117)/Settings!$C$33),"")</f>
        <v/>
      </c>
      <c r="AB117" s="37">
        <f>IFERROR(IF($G117="","",SUMIF('Post-Test Entry'!$C$3:$AQ$3,Settings!$A$34,'Post-Test Entry'!$C117:$AQ117)/Settings!$C$34),"")</f>
        <v/>
      </c>
      <c r="AC117" s="37">
        <f>IF(OR(O117="",V117=""),"",V117-O117)</f>
        <v/>
      </c>
      <c r="AD117" s="37">
        <f>IF(OR(P117="",W117=""),"",W117-P117)</f>
        <v/>
      </c>
      <c r="AE117" s="37">
        <f>IF(OR(Q117="",X117=""),"",X117-Q117)</f>
        <v/>
      </c>
      <c r="AF117" s="37">
        <f>IF(OR(R117="",Y117=""),"",Y117-R117)</f>
        <v/>
      </c>
      <c r="AG117" s="37">
        <f>IF(OR(S117="",Z117=""),"",Z117-S117)</f>
        <v/>
      </c>
      <c r="AH117" s="37">
        <f>IF(OR(T117="",AA117=""),"",AA117-T117)</f>
        <v/>
      </c>
      <c r="AI117" s="37">
        <f>IF(OR(U117="",AB117=""),"",AB117-U117)</f>
        <v/>
      </c>
      <c r="AJ117" s="30">
        <f>IFERROR(IF($G117&lt;&gt;"",INDEX($V$4:$AB$4,MATCH(MIN($V117:$AB117),$V117:$AB117,0)),IF($D117&lt;&gt;"",INDEX($O$4:$U$4,MATCH(MIN($O117:$U117),$O117:$U117,0)),"")),"")</f>
        <v/>
      </c>
      <c r="AK117" s="30">
        <f>IFERROR(IF($G117&lt;&gt;"",INDEX($V$4:$AB$4,MATCH(SMALL($V117:$AB117,2),$V117:$AB117,0)),IF($D117&lt;&gt;"",INDEX($O$4:$U$4,MATCH(SMALL($O117:$U117,2),$O117:$U117,0)),"")),"")</f>
        <v/>
      </c>
      <c r="AL117" s="30">
        <f>IF(OR(G117="",Settings!$B$17=""),"",IF(OR(ABS(G117-Settings!$B$5)&lt;=Settings!$B$17,ABS(G117-Settings!$B$6)&lt;=Settings!$B$17,ABS(G117-Settings!$B$7)&lt;=Settings!$B$17),"NEAR CUT",""))</f>
        <v/>
      </c>
      <c r="AM117" s="31">
        <f>IF('Post-Test Entry'!$AR117&lt;&gt;"","Post essay: code "&amp;'Post-Test Entry'!$AR117,IF('Pre-Test Entry'!$AR117&lt;&gt;"","Pre essay: code "&amp;'Pre-Test Entry'!$AR117,""))</f>
        <v/>
      </c>
      <c r="AN117" s="39">
        <f>IFERROR(IF($AJ117="","",INDEX(Settings!$D$28:$D$34,MATCH($AJ117,Settings!$A$28:$A$34,0))),"")</f>
        <v/>
      </c>
      <c r="AP117">
        <f>IF(D117="","",D117^2)</f>
        <v/>
      </c>
      <c r="AQ117">
        <f>IF(G117="","",G117^2)</f>
        <v/>
      </c>
    </row>
    <row r="118">
      <c r="A118" s="30">
        <f>IF(Roster!$A118="","",Roster!$A118)</f>
        <v/>
      </c>
      <c r="B118" s="31">
        <f>IF(Roster!$B118&lt;&gt;"",Roster!$C118&amp;" "&amp;Roster!$B118,"")</f>
        <v/>
      </c>
      <c r="C118" s="30">
        <f>IF(Roster!$B118&lt;&gt;"",Roster!$D118,"")</f>
        <v/>
      </c>
      <c r="D118" s="16">
        <f>IF(AND(Roster!$B118&lt;&gt;"",COUNT('Pre-Test Entry'!$C118:$AQ118)&gt;0),'Pre-Test Entry'!$AS118,"")</f>
        <v/>
      </c>
      <c r="E118" s="37">
        <f>IFERROR(D118/Settings!$B$8,"")</f>
        <v/>
      </c>
      <c r="F118" s="31">
        <f>IF(D118="","",IF(D118&gt;=Settings!$B$7,"Distinguished Learner",IF(D118&gt;=Settings!$B$6,"Proficient Learner",IF(D118&gt;=Settings!$B$5,"Developing Learner","Beginning Learner"))))</f>
        <v/>
      </c>
      <c r="G118" s="16">
        <f>IF(AND(Roster!$B118&lt;&gt;"",COUNT('Post-Test Entry'!$C118:$AQ118)&gt;0),'Post-Test Entry'!$AS118,"")</f>
        <v/>
      </c>
      <c r="H118" s="37">
        <f>IFERROR(G118/Settings!$B$8,"")</f>
        <v/>
      </c>
      <c r="I118" s="31">
        <f>IF(G118="","",IF(G118&gt;=Settings!$B$7,"Distinguished Learner",IF(G118&gt;=Settings!$B$6,"Proficient Learner",IF(G118&gt;=Settings!$B$5,"Developing Learner","Beginning Learner"))))</f>
        <v/>
      </c>
      <c r="J118" s="16">
        <f>IF(OR(D118="",G118=""),"",G118-D118)</f>
        <v/>
      </c>
      <c r="K118" s="37">
        <f>IFERROR(IF(OR(J118="",J118&lt;=0),"",(G118-D118)/(Settings!$B$8-D118)),"")</f>
        <v/>
      </c>
      <c r="L118" s="38">
        <f>IFERROR(IF(J118="","",(G118-D118)/(Settings!$B$17*SQRT(2))),"")</f>
        <v/>
      </c>
      <c r="M118" s="30">
        <f>IF(L118="","",IF(ABS(L118)&gt;=1.96,"Yes","No"))</f>
        <v/>
      </c>
      <c r="N118" s="30">
        <f>IF(J118="","",IF(J118&gt;=Settings!$B$15,"Yes","No"))</f>
        <v/>
      </c>
      <c r="O118" s="37">
        <f>IFERROR(IF($D118="","",SUMIF('Pre-Test Entry'!$C$3:$AQ$3,Settings!$A$28,'Pre-Test Entry'!$C118:$AQ118)/Settings!$C$28),"")</f>
        <v/>
      </c>
      <c r="P118" s="37">
        <f>IFERROR(IF($D118="","",SUMIF('Pre-Test Entry'!$C$3:$AQ$3,Settings!$A$29,'Pre-Test Entry'!$C118:$AQ118)/Settings!$C$29),"")</f>
        <v/>
      </c>
      <c r="Q118" s="37">
        <f>IFERROR(IF($D118="","",SUMIF('Pre-Test Entry'!$C$3:$AQ$3,Settings!$A$30,'Pre-Test Entry'!$C118:$AQ118)/Settings!$C$30),"")</f>
        <v/>
      </c>
      <c r="R118" s="37">
        <f>IFERROR(IF($D118="","",SUMIF('Pre-Test Entry'!$C$3:$AQ$3,Settings!$A$31,'Pre-Test Entry'!$C118:$AQ118)/Settings!$C$31),"")</f>
        <v/>
      </c>
      <c r="S118" s="37">
        <f>IFERROR(IF($D118="","",SUMIF('Pre-Test Entry'!$C$3:$AQ$3,Settings!$A$32,'Pre-Test Entry'!$C118:$AQ118)/Settings!$C$32),"")</f>
        <v/>
      </c>
      <c r="T118" s="37">
        <f>IFERROR(IF($D118="","",SUMIF('Pre-Test Entry'!$C$3:$AQ$3,Settings!$A$33,'Pre-Test Entry'!$C118:$AQ118)/Settings!$C$33),"")</f>
        <v/>
      </c>
      <c r="U118" s="37">
        <f>IFERROR(IF($D118="","",SUMIF('Pre-Test Entry'!$C$3:$AQ$3,Settings!$A$34,'Pre-Test Entry'!$C118:$AQ118)/Settings!$C$34),"")</f>
        <v/>
      </c>
      <c r="V118" s="37">
        <f>IFERROR(IF($G118="","",SUMIF('Post-Test Entry'!$C$3:$AQ$3,Settings!$A$28,'Post-Test Entry'!$C118:$AQ118)/Settings!$C$28),"")</f>
        <v/>
      </c>
      <c r="W118" s="37">
        <f>IFERROR(IF($G118="","",SUMIF('Post-Test Entry'!$C$3:$AQ$3,Settings!$A$29,'Post-Test Entry'!$C118:$AQ118)/Settings!$C$29),"")</f>
        <v/>
      </c>
      <c r="X118" s="37">
        <f>IFERROR(IF($G118="","",SUMIF('Post-Test Entry'!$C$3:$AQ$3,Settings!$A$30,'Post-Test Entry'!$C118:$AQ118)/Settings!$C$30),"")</f>
        <v/>
      </c>
      <c r="Y118" s="37">
        <f>IFERROR(IF($G118="","",SUMIF('Post-Test Entry'!$C$3:$AQ$3,Settings!$A$31,'Post-Test Entry'!$C118:$AQ118)/Settings!$C$31),"")</f>
        <v/>
      </c>
      <c r="Z118" s="37">
        <f>IFERROR(IF($G118="","",SUMIF('Post-Test Entry'!$C$3:$AQ$3,Settings!$A$32,'Post-Test Entry'!$C118:$AQ118)/Settings!$C$32),"")</f>
        <v/>
      </c>
      <c r="AA118" s="37">
        <f>IFERROR(IF($G118="","",SUMIF('Post-Test Entry'!$C$3:$AQ$3,Settings!$A$33,'Post-Test Entry'!$C118:$AQ118)/Settings!$C$33),"")</f>
        <v/>
      </c>
      <c r="AB118" s="37">
        <f>IFERROR(IF($G118="","",SUMIF('Post-Test Entry'!$C$3:$AQ$3,Settings!$A$34,'Post-Test Entry'!$C118:$AQ118)/Settings!$C$34),"")</f>
        <v/>
      </c>
      <c r="AC118" s="37">
        <f>IF(OR(O118="",V118=""),"",V118-O118)</f>
        <v/>
      </c>
      <c r="AD118" s="37">
        <f>IF(OR(P118="",W118=""),"",W118-P118)</f>
        <v/>
      </c>
      <c r="AE118" s="37">
        <f>IF(OR(Q118="",X118=""),"",X118-Q118)</f>
        <v/>
      </c>
      <c r="AF118" s="37">
        <f>IF(OR(R118="",Y118=""),"",Y118-R118)</f>
        <v/>
      </c>
      <c r="AG118" s="37">
        <f>IF(OR(S118="",Z118=""),"",Z118-S118)</f>
        <v/>
      </c>
      <c r="AH118" s="37">
        <f>IF(OR(T118="",AA118=""),"",AA118-T118)</f>
        <v/>
      </c>
      <c r="AI118" s="37">
        <f>IF(OR(U118="",AB118=""),"",AB118-U118)</f>
        <v/>
      </c>
      <c r="AJ118" s="30">
        <f>IFERROR(IF($G118&lt;&gt;"",INDEX($V$4:$AB$4,MATCH(MIN($V118:$AB118),$V118:$AB118,0)),IF($D118&lt;&gt;"",INDEX($O$4:$U$4,MATCH(MIN($O118:$U118),$O118:$U118,0)),"")),"")</f>
        <v/>
      </c>
      <c r="AK118" s="30">
        <f>IFERROR(IF($G118&lt;&gt;"",INDEX($V$4:$AB$4,MATCH(SMALL($V118:$AB118,2),$V118:$AB118,0)),IF($D118&lt;&gt;"",INDEX($O$4:$U$4,MATCH(SMALL($O118:$U118,2),$O118:$U118,0)),"")),"")</f>
        <v/>
      </c>
      <c r="AL118" s="30">
        <f>IF(OR(G118="",Settings!$B$17=""),"",IF(OR(ABS(G118-Settings!$B$5)&lt;=Settings!$B$17,ABS(G118-Settings!$B$6)&lt;=Settings!$B$17,ABS(G118-Settings!$B$7)&lt;=Settings!$B$17),"NEAR CUT",""))</f>
        <v/>
      </c>
      <c r="AM118" s="31">
        <f>IF('Post-Test Entry'!$AR118&lt;&gt;"","Post essay: code "&amp;'Post-Test Entry'!$AR118,IF('Pre-Test Entry'!$AR118&lt;&gt;"","Pre essay: code "&amp;'Pre-Test Entry'!$AR118,""))</f>
        <v/>
      </c>
      <c r="AN118" s="39">
        <f>IFERROR(IF($AJ118="","",INDEX(Settings!$D$28:$D$34,MATCH($AJ118,Settings!$A$28:$A$34,0))),"")</f>
        <v/>
      </c>
      <c r="AP118">
        <f>IF(D118="","",D118^2)</f>
        <v/>
      </c>
      <c r="AQ118">
        <f>IF(G118="","",G118^2)</f>
        <v/>
      </c>
    </row>
    <row r="119">
      <c r="A119" s="30">
        <f>IF(Roster!$A119="","",Roster!$A119)</f>
        <v/>
      </c>
      <c r="B119" s="31">
        <f>IF(Roster!$B119&lt;&gt;"",Roster!$C119&amp;" "&amp;Roster!$B119,"")</f>
        <v/>
      </c>
      <c r="C119" s="30">
        <f>IF(Roster!$B119&lt;&gt;"",Roster!$D119,"")</f>
        <v/>
      </c>
      <c r="D119" s="16">
        <f>IF(AND(Roster!$B119&lt;&gt;"",COUNT('Pre-Test Entry'!$C119:$AQ119)&gt;0),'Pre-Test Entry'!$AS119,"")</f>
        <v/>
      </c>
      <c r="E119" s="37">
        <f>IFERROR(D119/Settings!$B$8,"")</f>
        <v/>
      </c>
      <c r="F119" s="31">
        <f>IF(D119="","",IF(D119&gt;=Settings!$B$7,"Distinguished Learner",IF(D119&gt;=Settings!$B$6,"Proficient Learner",IF(D119&gt;=Settings!$B$5,"Developing Learner","Beginning Learner"))))</f>
        <v/>
      </c>
      <c r="G119" s="16">
        <f>IF(AND(Roster!$B119&lt;&gt;"",COUNT('Post-Test Entry'!$C119:$AQ119)&gt;0),'Post-Test Entry'!$AS119,"")</f>
        <v/>
      </c>
      <c r="H119" s="37">
        <f>IFERROR(G119/Settings!$B$8,"")</f>
        <v/>
      </c>
      <c r="I119" s="31">
        <f>IF(G119="","",IF(G119&gt;=Settings!$B$7,"Distinguished Learner",IF(G119&gt;=Settings!$B$6,"Proficient Learner",IF(G119&gt;=Settings!$B$5,"Developing Learner","Beginning Learner"))))</f>
        <v/>
      </c>
      <c r="J119" s="16">
        <f>IF(OR(D119="",G119=""),"",G119-D119)</f>
        <v/>
      </c>
      <c r="K119" s="37">
        <f>IFERROR(IF(OR(J119="",J119&lt;=0),"",(G119-D119)/(Settings!$B$8-D119)),"")</f>
        <v/>
      </c>
      <c r="L119" s="38">
        <f>IFERROR(IF(J119="","",(G119-D119)/(Settings!$B$17*SQRT(2))),"")</f>
        <v/>
      </c>
      <c r="M119" s="30">
        <f>IF(L119="","",IF(ABS(L119)&gt;=1.96,"Yes","No"))</f>
        <v/>
      </c>
      <c r="N119" s="30">
        <f>IF(J119="","",IF(J119&gt;=Settings!$B$15,"Yes","No"))</f>
        <v/>
      </c>
      <c r="O119" s="37">
        <f>IFERROR(IF($D119="","",SUMIF('Pre-Test Entry'!$C$3:$AQ$3,Settings!$A$28,'Pre-Test Entry'!$C119:$AQ119)/Settings!$C$28),"")</f>
        <v/>
      </c>
      <c r="P119" s="37">
        <f>IFERROR(IF($D119="","",SUMIF('Pre-Test Entry'!$C$3:$AQ$3,Settings!$A$29,'Pre-Test Entry'!$C119:$AQ119)/Settings!$C$29),"")</f>
        <v/>
      </c>
      <c r="Q119" s="37">
        <f>IFERROR(IF($D119="","",SUMIF('Pre-Test Entry'!$C$3:$AQ$3,Settings!$A$30,'Pre-Test Entry'!$C119:$AQ119)/Settings!$C$30),"")</f>
        <v/>
      </c>
      <c r="R119" s="37">
        <f>IFERROR(IF($D119="","",SUMIF('Pre-Test Entry'!$C$3:$AQ$3,Settings!$A$31,'Pre-Test Entry'!$C119:$AQ119)/Settings!$C$31),"")</f>
        <v/>
      </c>
      <c r="S119" s="37">
        <f>IFERROR(IF($D119="","",SUMIF('Pre-Test Entry'!$C$3:$AQ$3,Settings!$A$32,'Pre-Test Entry'!$C119:$AQ119)/Settings!$C$32),"")</f>
        <v/>
      </c>
      <c r="T119" s="37">
        <f>IFERROR(IF($D119="","",SUMIF('Pre-Test Entry'!$C$3:$AQ$3,Settings!$A$33,'Pre-Test Entry'!$C119:$AQ119)/Settings!$C$33),"")</f>
        <v/>
      </c>
      <c r="U119" s="37">
        <f>IFERROR(IF($D119="","",SUMIF('Pre-Test Entry'!$C$3:$AQ$3,Settings!$A$34,'Pre-Test Entry'!$C119:$AQ119)/Settings!$C$34),"")</f>
        <v/>
      </c>
      <c r="V119" s="37">
        <f>IFERROR(IF($G119="","",SUMIF('Post-Test Entry'!$C$3:$AQ$3,Settings!$A$28,'Post-Test Entry'!$C119:$AQ119)/Settings!$C$28),"")</f>
        <v/>
      </c>
      <c r="W119" s="37">
        <f>IFERROR(IF($G119="","",SUMIF('Post-Test Entry'!$C$3:$AQ$3,Settings!$A$29,'Post-Test Entry'!$C119:$AQ119)/Settings!$C$29),"")</f>
        <v/>
      </c>
      <c r="X119" s="37">
        <f>IFERROR(IF($G119="","",SUMIF('Post-Test Entry'!$C$3:$AQ$3,Settings!$A$30,'Post-Test Entry'!$C119:$AQ119)/Settings!$C$30),"")</f>
        <v/>
      </c>
      <c r="Y119" s="37">
        <f>IFERROR(IF($G119="","",SUMIF('Post-Test Entry'!$C$3:$AQ$3,Settings!$A$31,'Post-Test Entry'!$C119:$AQ119)/Settings!$C$31),"")</f>
        <v/>
      </c>
      <c r="Z119" s="37">
        <f>IFERROR(IF($G119="","",SUMIF('Post-Test Entry'!$C$3:$AQ$3,Settings!$A$32,'Post-Test Entry'!$C119:$AQ119)/Settings!$C$32),"")</f>
        <v/>
      </c>
      <c r="AA119" s="37">
        <f>IFERROR(IF($G119="","",SUMIF('Post-Test Entry'!$C$3:$AQ$3,Settings!$A$33,'Post-Test Entry'!$C119:$AQ119)/Settings!$C$33),"")</f>
        <v/>
      </c>
      <c r="AB119" s="37">
        <f>IFERROR(IF($G119="","",SUMIF('Post-Test Entry'!$C$3:$AQ$3,Settings!$A$34,'Post-Test Entry'!$C119:$AQ119)/Settings!$C$34),"")</f>
        <v/>
      </c>
      <c r="AC119" s="37">
        <f>IF(OR(O119="",V119=""),"",V119-O119)</f>
        <v/>
      </c>
      <c r="AD119" s="37">
        <f>IF(OR(P119="",W119=""),"",W119-P119)</f>
        <v/>
      </c>
      <c r="AE119" s="37">
        <f>IF(OR(Q119="",X119=""),"",X119-Q119)</f>
        <v/>
      </c>
      <c r="AF119" s="37">
        <f>IF(OR(R119="",Y119=""),"",Y119-R119)</f>
        <v/>
      </c>
      <c r="AG119" s="37">
        <f>IF(OR(S119="",Z119=""),"",Z119-S119)</f>
        <v/>
      </c>
      <c r="AH119" s="37">
        <f>IF(OR(T119="",AA119=""),"",AA119-T119)</f>
        <v/>
      </c>
      <c r="AI119" s="37">
        <f>IF(OR(U119="",AB119=""),"",AB119-U119)</f>
        <v/>
      </c>
      <c r="AJ119" s="30">
        <f>IFERROR(IF($G119&lt;&gt;"",INDEX($V$4:$AB$4,MATCH(MIN($V119:$AB119),$V119:$AB119,0)),IF($D119&lt;&gt;"",INDEX($O$4:$U$4,MATCH(MIN($O119:$U119),$O119:$U119,0)),"")),"")</f>
        <v/>
      </c>
      <c r="AK119" s="30">
        <f>IFERROR(IF($G119&lt;&gt;"",INDEX($V$4:$AB$4,MATCH(SMALL($V119:$AB119,2),$V119:$AB119,0)),IF($D119&lt;&gt;"",INDEX($O$4:$U$4,MATCH(SMALL($O119:$U119,2),$O119:$U119,0)),"")),"")</f>
        <v/>
      </c>
      <c r="AL119" s="30">
        <f>IF(OR(G119="",Settings!$B$17=""),"",IF(OR(ABS(G119-Settings!$B$5)&lt;=Settings!$B$17,ABS(G119-Settings!$B$6)&lt;=Settings!$B$17,ABS(G119-Settings!$B$7)&lt;=Settings!$B$17),"NEAR CUT",""))</f>
        <v/>
      </c>
      <c r="AM119" s="31">
        <f>IF('Post-Test Entry'!$AR119&lt;&gt;"","Post essay: code "&amp;'Post-Test Entry'!$AR119,IF('Pre-Test Entry'!$AR119&lt;&gt;"","Pre essay: code "&amp;'Pre-Test Entry'!$AR119,""))</f>
        <v/>
      </c>
      <c r="AN119" s="39">
        <f>IFERROR(IF($AJ119="","",INDEX(Settings!$D$28:$D$34,MATCH($AJ119,Settings!$A$28:$A$34,0))),"")</f>
        <v/>
      </c>
      <c r="AP119">
        <f>IF(D119="","",D119^2)</f>
        <v/>
      </c>
      <c r="AQ119">
        <f>IF(G119="","",G119^2)</f>
        <v/>
      </c>
    </row>
    <row r="120">
      <c r="A120" s="30">
        <f>IF(Roster!$A120="","",Roster!$A120)</f>
        <v/>
      </c>
      <c r="B120" s="31">
        <f>IF(Roster!$B120&lt;&gt;"",Roster!$C120&amp;" "&amp;Roster!$B120,"")</f>
        <v/>
      </c>
      <c r="C120" s="30">
        <f>IF(Roster!$B120&lt;&gt;"",Roster!$D120,"")</f>
        <v/>
      </c>
      <c r="D120" s="16">
        <f>IF(AND(Roster!$B120&lt;&gt;"",COUNT('Pre-Test Entry'!$C120:$AQ120)&gt;0),'Pre-Test Entry'!$AS120,"")</f>
        <v/>
      </c>
      <c r="E120" s="37">
        <f>IFERROR(D120/Settings!$B$8,"")</f>
        <v/>
      </c>
      <c r="F120" s="31">
        <f>IF(D120="","",IF(D120&gt;=Settings!$B$7,"Distinguished Learner",IF(D120&gt;=Settings!$B$6,"Proficient Learner",IF(D120&gt;=Settings!$B$5,"Developing Learner","Beginning Learner"))))</f>
        <v/>
      </c>
      <c r="G120" s="16">
        <f>IF(AND(Roster!$B120&lt;&gt;"",COUNT('Post-Test Entry'!$C120:$AQ120)&gt;0),'Post-Test Entry'!$AS120,"")</f>
        <v/>
      </c>
      <c r="H120" s="37">
        <f>IFERROR(G120/Settings!$B$8,"")</f>
        <v/>
      </c>
      <c r="I120" s="31">
        <f>IF(G120="","",IF(G120&gt;=Settings!$B$7,"Distinguished Learner",IF(G120&gt;=Settings!$B$6,"Proficient Learner",IF(G120&gt;=Settings!$B$5,"Developing Learner","Beginning Learner"))))</f>
        <v/>
      </c>
      <c r="J120" s="16">
        <f>IF(OR(D120="",G120=""),"",G120-D120)</f>
        <v/>
      </c>
      <c r="K120" s="37">
        <f>IFERROR(IF(OR(J120="",J120&lt;=0),"",(G120-D120)/(Settings!$B$8-D120)),"")</f>
        <v/>
      </c>
      <c r="L120" s="38">
        <f>IFERROR(IF(J120="","",(G120-D120)/(Settings!$B$17*SQRT(2))),"")</f>
        <v/>
      </c>
      <c r="M120" s="30">
        <f>IF(L120="","",IF(ABS(L120)&gt;=1.96,"Yes","No"))</f>
        <v/>
      </c>
      <c r="N120" s="30">
        <f>IF(J120="","",IF(J120&gt;=Settings!$B$15,"Yes","No"))</f>
        <v/>
      </c>
      <c r="O120" s="37">
        <f>IFERROR(IF($D120="","",SUMIF('Pre-Test Entry'!$C$3:$AQ$3,Settings!$A$28,'Pre-Test Entry'!$C120:$AQ120)/Settings!$C$28),"")</f>
        <v/>
      </c>
      <c r="P120" s="37">
        <f>IFERROR(IF($D120="","",SUMIF('Pre-Test Entry'!$C$3:$AQ$3,Settings!$A$29,'Pre-Test Entry'!$C120:$AQ120)/Settings!$C$29),"")</f>
        <v/>
      </c>
      <c r="Q120" s="37">
        <f>IFERROR(IF($D120="","",SUMIF('Pre-Test Entry'!$C$3:$AQ$3,Settings!$A$30,'Pre-Test Entry'!$C120:$AQ120)/Settings!$C$30),"")</f>
        <v/>
      </c>
      <c r="R120" s="37">
        <f>IFERROR(IF($D120="","",SUMIF('Pre-Test Entry'!$C$3:$AQ$3,Settings!$A$31,'Pre-Test Entry'!$C120:$AQ120)/Settings!$C$31),"")</f>
        <v/>
      </c>
      <c r="S120" s="37">
        <f>IFERROR(IF($D120="","",SUMIF('Pre-Test Entry'!$C$3:$AQ$3,Settings!$A$32,'Pre-Test Entry'!$C120:$AQ120)/Settings!$C$32),"")</f>
        <v/>
      </c>
      <c r="T120" s="37">
        <f>IFERROR(IF($D120="","",SUMIF('Pre-Test Entry'!$C$3:$AQ$3,Settings!$A$33,'Pre-Test Entry'!$C120:$AQ120)/Settings!$C$33),"")</f>
        <v/>
      </c>
      <c r="U120" s="37">
        <f>IFERROR(IF($D120="","",SUMIF('Pre-Test Entry'!$C$3:$AQ$3,Settings!$A$34,'Pre-Test Entry'!$C120:$AQ120)/Settings!$C$34),"")</f>
        <v/>
      </c>
      <c r="V120" s="37">
        <f>IFERROR(IF($G120="","",SUMIF('Post-Test Entry'!$C$3:$AQ$3,Settings!$A$28,'Post-Test Entry'!$C120:$AQ120)/Settings!$C$28),"")</f>
        <v/>
      </c>
      <c r="W120" s="37">
        <f>IFERROR(IF($G120="","",SUMIF('Post-Test Entry'!$C$3:$AQ$3,Settings!$A$29,'Post-Test Entry'!$C120:$AQ120)/Settings!$C$29),"")</f>
        <v/>
      </c>
      <c r="X120" s="37">
        <f>IFERROR(IF($G120="","",SUMIF('Post-Test Entry'!$C$3:$AQ$3,Settings!$A$30,'Post-Test Entry'!$C120:$AQ120)/Settings!$C$30),"")</f>
        <v/>
      </c>
      <c r="Y120" s="37">
        <f>IFERROR(IF($G120="","",SUMIF('Post-Test Entry'!$C$3:$AQ$3,Settings!$A$31,'Post-Test Entry'!$C120:$AQ120)/Settings!$C$31),"")</f>
        <v/>
      </c>
      <c r="Z120" s="37">
        <f>IFERROR(IF($G120="","",SUMIF('Post-Test Entry'!$C$3:$AQ$3,Settings!$A$32,'Post-Test Entry'!$C120:$AQ120)/Settings!$C$32),"")</f>
        <v/>
      </c>
      <c r="AA120" s="37">
        <f>IFERROR(IF($G120="","",SUMIF('Post-Test Entry'!$C$3:$AQ$3,Settings!$A$33,'Post-Test Entry'!$C120:$AQ120)/Settings!$C$33),"")</f>
        <v/>
      </c>
      <c r="AB120" s="37">
        <f>IFERROR(IF($G120="","",SUMIF('Post-Test Entry'!$C$3:$AQ$3,Settings!$A$34,'Post-Test Entry'!$C120:$AQ120)/Settings!$C$34),"")</f>
        <v/>
      </c>
      <c r="AC120" s="37">
        <f>IF(OR(O120="",V120=""),"",V120-O120)</f>
        <v/>
      </c>
      <c r="AD120" s="37">
        <f>IF(OR(P120="",W120=""),"",W120-P120)</f>
        <v/>
      </c>
      <c r="AE120" s="37">
        <f>IF(OR(Q120="",X120=""),"",X120-Q120)</f>
        <v/>
      </c>
      <c r="AF120" s="37">
        <f>IF(OR(R120="",Y120=""),"",Y120-R120)</f>
        <v/>
      </c>
      <c r="AG120" s="37">
        <f>IF(OR(S120="",Z120=""),"",Z120-S120)</f>
        <v/>
      </c>
      <c r="AH120" s="37">
        <f>IF(OR(T120="",AA120=""),"",AA120-T120)</f>
        <v/>
      </c>
      <c r="AI120" s="37">
        <f>IF(OR(U120="",AB120=""),"",AB120-U120)</f>
        <v/>
      </c>
      <c r="AJ120" s="30">
        <f>IFERROR(IF($G120&lt;&gt;"",INDEX($V$4:$AB$4,MATCH(MIN($V120:$AB120),$V120:$AB120,0)),IF($D120&lt;&gt;"",INDEX($O$4:$U$4,MATCH(MIN($O120:$U120),$O120:$U120,0)),"")),"")</f>
        <v/>
      </c>
      <c r="AK120" s="30">
        <f>IFERROR(IF($G120&lt;&gt;"",INDEX($V$4:$AB$4,MATCH(SMALL($V120:$AB120,2),$V120:$AB120,0)),IF($D120&lt;&gt;"",INDEX($O$4:$U$4,MATCH(SMALL($O120:$U120,2),$O120:$U120,0)),"")),"")</f>
        <v/>
      </c>
      <c r="AL120" s="30">
        <f>IF(OR(G120="",Settings!$B$17=""),"",IF(OR(ABS(G120-Settings!$B$5)&lt;=Settings!$B$17,ABS(G120-Settings!$B$6)&lt;=Settings!$B$17,ABS(G120-Settings!$B$7)&lt;=Settings!$B$17),"NEAR CUT",""))</f>
        <v/>
      </c>
      <c r="AM120" s="31">
        <f>IF('Post-Test Entry'!$AR120&lt;&gt;"","Post essay: code "&amp;'Post-Test Entry'!$AR120,IF('Pre-Test Entry'!$AR120&lt;&gt;"","Pre essay: code "&amp;'Pre-Test Entry'!$AR120,""))</f>
        <v/>
      </c>
      <c r="AN120" s="39">
        <f>IFERROR(IF($AJ120="","",INDEX(Settings!$D$28:$D$34,MATCH($AJ120,Settings!$A$28:$A$34,0))),"")</f>
        <v/>
      </c>
      <c r="AP120">
        <f>IF(D120="","",D120^2)</f>
        <v/>
      </c>
      <c r="AQ120">
        <f>IF(G120="","",G120^2)</f>
        <v/>
      </c>
    </row>
    <row r="121">
      <c r="A121" s="30">
        <f>IF(Roster!$A121="","",Roster!$A121)</f>
        <v/>
      </c>
      <c r="B121" s="31">
        <f>IF(Roster!$B121&lt;&gt;"",Roster!$C121&amp;" "&amp;Roster!$B121,"")</f>
        <v/>
      </c>
      <c r="C121" s="30">
        <f>IF(Roster!$B121&lt;&gt;"",Roster!$D121,"")</f>
        <v/>
      </c>
      <c r="D121" s="16">
        <f>IF(AND(Roster!$B121&lt;&gt;"",COUNT('Pre-Test Entry'!$C121:$AQ121)&gt;0),'Pre-Test Entry'!$AS121,"")</f>
        <v/>
      </c>
      <c r="E121" s="37">
        <f>IFERROR(D121/Settings!$B$8,"")</f>
        <v/>
      </c>
      <c r="F121" s="31">
        <f>IF(D121="","",IF(D121&gt;=Settings!$B$7,"Distinguished Learner",IF(D121&gt;=Settings!$B$6,"Proficient Learner",IF(D121&gt;=Settings!$B$5,"Developing Learner","Beginning Learner"))))</f>
        <v/>
      </c>
      <c r="G121" s="16">
        <f>IF(AND(Roster!$B121&lt;&gt;"",COUNT('Post-Test Entry'!$C121:$AQ121)&gt;0),'Post-Test Entry'!$AS121,"")</f>
        <v/>
      </c>
      <c r="H121" s="37">
        <f>IFERROR(G121/Settings!$B$8,"")</f>
        <v/>
      </c>
      <c r="I121" s="31">
        <f>IF(G121="","",IF(G121&gt;=Settings!$B$7,"Distinguished Learner",IF(G121&gt;=Settings!$B$6,"Proficient Learner",IF(G121&gt;=Settings!$B$5,"Developing Learner","Beginning Learner"))))</f>
        <v/>
      </c>
      <c r="J121" s="16">
        <f>IF(OR(D121="",G121=""),"",G121-D121)</f>
        <v/>
      </c>
      <c r="K121" s="37">
        <f>IFERROR(IF(OR(J121="",J121&lt;=0),"",(G121-D121)/(Settings!$B$8-D121)),"")</f>
        <v/>
      </c>
      <c r="L121" s="38">
        <f>IFERROR(IF(J121="","",(G121-D121)/(Settings!$B$17*SQRT(2))),"")</f>
        <v/>
      </c>
      <c r="M121" s="30">
        <f>IF(L121="","",IF(ABS(L121)&gt;=1.96,"Yes","No"))</f>
        <v/>
      </c>
      <c r="N121" s="30">
        <f>IF(J121="","",IF(J121&gt;=Settings!$B$15,"Yes","No"))</f>
        <v/>
      </c>
      <c r="O121" s="37">
        <f>IFERROR(IF($D121="","",SUMIF('Pre-Test Entry'!$C$3:$AQ$3,Settings!$A$28,'Pre-Test Entry'!$C121:$AQ121)/Settings!$C$28),"")</f>
        <v/>
      </c>
      <c r="P121" s="37">
        <f>IFERROR(IF($D121="","",SUMIF('Pre-Test Entry'!$C$3:$AQ$3,Settings!$A$29,'Pre-Test Entry'!$C121:$AQ121)/Settings!$C$29),"")</f>
        <v/>
      </c>
      <c r="Q121" s="37">
        <f>IFERROR(IF($D121="","",SUMIF('Pre-Test Entry'!$C$3:$AQ$3,Settings!$A$30,'Pre-Test Entry'!$C121:$AQ121)/Settings!$C$30),"")</f>
        <v/>
      </c>
      <c r="R121" s="37">
        <f>IFERROR(IF($D121="","",SUMIF('Pre-Test Entry'!$C$3:$AQ$3,Settings!$A$31,'Pre-Test Entry'!$C121:$AQ121)/Settings!$C$31),"")</f>
        <v/>
      </c>
      <c r="S121" s="37">
        <f>IFERROR(IF($D121="","",SUMIF('Pre-Test Entry'!$C$3:$AQ$3,Settings!$A$32,'Pre-Test Entry'!$C121:$AQ121)/Settings!$C$32),"")</f>
        <v/>
      </c>
      <c r="T121" s="37">
        <f>IFERROR(IF($D121="","",SUMIF('Pre-Test Entry'!$C$3:$AQ$3,Settings!$A$33,'Pre-Test Entry'!$C121:$AQ121)/Settings!$C$33),"")</f>
        <v/>
      </c>
      <c r="U121" s="37">
        <f>IFERROR(IF($D121="","",SUMIF('Pre-Test Entry'!$C$3:$AQ$3,Settings!$A$34,'Pre-Test Entry'!$C121:$AQ121)/Settings!$C$34),"")</f>
        <v/>
      </c>
      <c r="V121" s="37">
        <f>IFERROR(IF($G121="","",SUMIF('Post-Test Entry'!$C$3:$AQ$3,Settings!$A$28,'Post-Test Entry'!$C121:$AQ121)/Settings!$C$28),"")</f>
        <v/>
      </c>
      <c r="W121" s="37">
        <f>IFERROR(IF($G121="","",SUMIF('Post-Test Entry'!$C$3:$AQ$3,Settings!$A$29,'Post-Test Entry'!$C121:$AQ121)/Settings!$C$29),"")</f>
        <v/>
      </c>
      <c r="X121" s="37">
        <f>IFERROR(IF($G121="","",SUMIF('Post-Test Entry'!$C$3:$AQ$3,Settings!$A$30,'Post-Test Entry'!$C121:$AQ121)/Settings!$C$30),"")</f>
        <v/>
      </c>
      <c r="Y121" s="37">
        <f>IFERROR(IF($G121="","",SUMIF('Post-Test Entry'!$C$3:$AQ$3,Settings!$A$31,'Post-Test Entry'!$C121:$AQ121)/Settings!$C$31),"")</f>
        <v/>
      </c>
      <c r="Z121" s="37">
        <f>IFERROR(IF($G121="","",SUMIF('Post-Test Entry'!$C$3:$AQ$3,Settings!$A$32,'Post-Test Entry'!$C121:$AQ121)/Settings!$C$32),"")</f>
        <v/>
      </c>
      <c r="AA121" s="37">
        <f>IFERROR(IF($G121="","",SUMIF('Post-Test Entry'!$C$3:$AQ$3,Settings!$A$33,'Post-Test Entry'!$C121:$AQ121)/Settings!$C$33),"")</f>
        <v/>
      </c>
      <c r="AB121" s="37">
        <f>IFERROR(IF($G121="","",SUMIF('Post-Test Entry'!$C$3:$AQ$3,Settings!$A$34,'Post-Test Entry'!$C121:$AQ121)/Settings!$C$34),"")</f>
        <v/>
      </c>
      <c r="AC121" s="37">
        <f>IF(OR(O121="",V121=""),"",V121-O121)</f>
        <v/>
      </c>
      <c r="AD121" s="37">
        <f>IF(OR(P121="",W121=""),"",W121-P121)</f>
        <v/>
      </c>
      <c r="AE121" s="37">
        <f>IF(OR(Q121="",X121=""),"",X121-Q121)</f>
        <v/>
      </c>
      <c r="AF121" s="37">
        <f>IF(OR(R121="",Y121=""),"",Y121-R121)</f>
        <v/>
      </c>
      <c r="AG121" s="37">
        <f>IF(OR(S121="",Z121=""),"",Z121-S121)</f>
        <v/>
      </c>
      <c r="AH121" s="37">
        <f>IF(OR(T121="",AA121=""),"",AA121-T121)</f>
        <v/>
      </c>
      <c r="AI121" s="37">
        <f>IF(OR(U121="",AB121=""),"",AB121-U121)</f>
        <v/>
      </c>
      <c r="AJ121" s="30">
        <f>IFERROR(IF($G121&lt;&gt;"",INDEX($V$4:$AB$4,MATCH(MIN($V121:$AB121),$V121:$AB121,0)),IF($D121&lt;&gt;"",INDEX($O$4:$U$4,MATCH(MIN($O121:$U121),$O121:$U121,0)),"")),"")</f>
        <v/>
      </c>
      <c r="AK121" s="30">
        <f>IFERROR(IF($G121&lt;&gt;"",INDEX($V$4:$AB$4,MATCH(SMALL($V121:$AB121,2),$V121:$AB121,0)),IF($D121&lt;&gt;"",INDEX($O$4:$U$4,MATCH(SMALL($O121:$U121,2),$O121:$U121,0)),"")),"")</f>
        <v/>
      </c>
      <c r="AL121" s="30">
        <f>IF(OR(G121="",Settings!$B$17=""),"",IF(OR(ABS(G121-Settings!$B$5)&lt;=Settings!$B$17,ABS(G121-Settings!$B$6)&lt;=Settings!$B$17,ABS(G121-Settings!$B$7)&lt;=Settings!$B$17),"NEAR CUT",""))</f>
        <v/>
      </c>
      <c r="AM121" s="31">
        <f>IF('Post-Test Entry'!$AR121&lt;&gt;"","Post essay: code "&amp;'Post-Test Entry'!$AR121,IF('Pre-Test Entry'!$AR121&lt;&gt;"","Pre essay: code "&amp;'Pre-Test Entry'!$AR121,""))</f>
        <v/>
      </c>
      <c r="AN121" s="39">
        <f>IFERROR(IF($AJ121="","",INDEX(Settings!$D$28:$D$34,MATCH($AJ121,Settings!$A$28:$A$34,0))),"")</f>
        <v/>
      </c>
      <c r="AP121">
        <f>IF(D121="","",D121^2)</f>
        <v/>
      </c>
      <c r="AQ121">
        <f>IF(G121="","",G121^2)</f>
        <v/>
      </c>
    </row>
    <row r="122">
      <c r="A122" s="30">
        <f>IF(Roster!$A122="","",Roster!$A122)</f>
        <v/>
      </c>
      <c r="B122" s="31">
        <f>IF(Roster!$B122&lt;&gt;"",Roster!$C122&amp;" "&amp;Roster!$B122,"")</f>
        <v/>
      </c>
      <c r="C122" s="30">
        <f>IF(Roster!$B122&lt;&gt;"",Roster!$D122,"")</f>
        <v/>
      </c>
      <c r="D122" s="16">
        <f>IF(AND(Roster!$B122&lt;&gt;"",COUNT('Pre-Test Entry'!$C122:$AQ122)&gt;0),'Pre-Test Entry'!$AS122,"")</f>
        <v/>
      </c>
      <c r="E122" s="37">
        <f>IFERROR(D122/Settings!$B$8,"")</f>
        <v/>
      </c>
      <c r="F122" s="31">
        <f>IF(D122="","",IF(D122&gt;=Settings!$B$7,"Distinguished Learner",IF(D122&gt;=Settings!$B$6,"Proficient Learner",IF(D122&gt;=Settings!$B$5,"Developing Learner","Beginning Learner"))))</f>
        <v/>
      </c>
      <c r="G122" s="16">
        <f>IF(AND(Roster!$B122&lt;&gt;"",COUNT('Post-Test Entry'!$C122:$AQ122)&gt;0),'Post-Test Entry'!$AS122,"")</f>
        <v/>
      </c>
      <c r="H122" s="37">
        <f>IFERROR(G122/Settings!$B$8,"")</f>
        <v/>
      </c>
      <c r="I122" s="31">
        <f>IF(G122="","",IF(G122&gt;=Settings!$B$7,"Distinguished Learner",IF(G122&gt;=Settings!$B$6,"Proficient Learner",IF(G122&gt;=Settings!$B$5,"Developing Learner","Beginning Learner"))))</f>
        <v/>
      </c>
      <c r="J122" s="16">
        <f>IF(OR(D122="",G122=""),"",G122-D122)</f>
        <v/>
      </c>
      <c r="K122" s="37">
        <f>IFERROR(IF(OR(J122="",J122&lt;=0),"",(G122-D122)/(Settings!$B$8-D122)),"")</f>
        <v/>
      </c>
      <c r="L122" s="38">
        <f>IFERROR(IF(J122="","",(G122-D122)/(Settings!$B$17*SQRT(2))),"")</f>
        <v/>
      </c>
      <c r="M122" s="30">
        <f>IF(L122="","",IF(ABS(L122)&gt;=1.96,"Yes","No"))</f>
        <v/>
      </c>
      <c r="N122" s="30">
        <f>IF(J122="","",IF(J122&gt;=Settings!$B$15,"Yes","No"))</f>
        <v/>
      </c>
      <c r="O122" s="37">
        <f>IFERROR(IF($D122="","",SUMIF('Pre-Test Entry'!$C$3:$AQ$3,Settings!$A$28,'Pre-Test Entry'!$C122:$AQ122)/Settings!$C$28),"")</f>
        <v/>
      </c>
      <c r="P122" s="37">
        <f>IFERROR(IF($D122="","",SUMIF('Pre-Test Entry'!$C$3:$AQ$3,Settings!$A$29,'Pre-Test Entry'!$C122:$AQ122)/Settings!$C$29),"")</f>
        <v/>
      </c>
      <c r="Q122" s="37">
        <f>IFERROR(IF($D122="","",SUMIF('Pre-Test Entry'!$C$3:$AQ$3,Settings!$A$30,'Pre-Test Entry'!$C122:$AQ122)/Settings!$C$30),"")</f>
        <v/>
      </c>
      <c r="R122" s="37">
        <f>IFERROR(IF($D122="","",SUMIF('Pre-Test Entry'!$C$3:$AQ$3,Settings!$A$31,'Pre-Test Entry'!$C122:$AQ122)/Settings!$C$31),"")</f>
        <v/>
      </c>
      <c r="S122" s="37">
        <f>IFERROR(IF($D122="","",SUMIF('Pre-Test Entry'!$C$3:$AQ$3,Settings!$A$32,'Pre-Test Entry'!$C122:$AQ122)/Settings!$C$32),"")</f>
        <v/>
      </c>
      <c r="T122" s="37">
        <f>IFERROR(IF($D122="","",SUMIF('Pre-Test Entry'!$C$3:$AQ$3,Settings!$A$33,'Pre-Test Entry'!$C122:$AQ122)/Settings!$C$33),"")</f>
        <v/>
      </c>
      <c r="U122" s="37">
        <f>IFERROR(IF($D122="","",SUMIF('Pre-Test Entry'!$C$3:$AQ$3,Settings!$A$34,'Pre-Test Entry'!$C122:$AQ122)/Settings!$C$34),"")</f>
        <v/>
      </c>
      <c r="V122" s="37">
        <f>IFERROR(IF($G122="","",SUMIF('Post-Test Entry'!$C$3:$AQ$3,Settings!$A$28,'Post-Test Entry'!$C122:$AQ122)/Settings!$C$28),"")</f>
        <v/>
      </c>
      <c r="W122" s="37">
        <f>IFERROR(IF($G122="","",SUMIF('Post-Test Entry'!$C$3:$AQ$3,Settings!$A$29,'Post-Test Entry'!$C122:$AQ122)/Settings!$C$29),"")</f>
        <v/>
      </c>
      <c r="X122" s="37">
        <f>IFERROR(IF($G122="","",SUMIF('Post-Test Entry'!$C$3:$AQ$3,Settings!$A$30,'Post-Test Entry'!$C122:$AQ122)/Settings!$C$30),"")</f>
        <v/>
      </c>
      <c r="Y122" s="37">
        <f>IFERROR(IF($G122="","",SUMIF('Post-Test Entry'!$C$3:$AQ$3,Settings!$A$31,'Post-Test Entry'!$C122:$AQ122)/Settings!$C$31),"")</f>
        <v/>
      </c>
      <c r="Z122" s="37">
        <f>IFERROR(IF($G122="","",SUMIF('Post-Test Entry'!$C$3:$AQ$3,Settings!$A$32,'Post-Test Entry'!$C122:$AQ122)/Settings!$C$32),"")</f>
        <v/>
      </c>
      <c r="AA122" s="37">
        <f>IFERROR(IF($G122="","",SUMIF('Post-Test Entry'!$C$3:$AQ$3,Settings!$A$33,'Post-Test Entry'!$C122:$AQ122)/Settings!$C$33),"")</f>
        <v/>
      </c>
      <c r="AB122" s="37">
        <f>IFERROR(IF($G122="","",SUMIF('Post-Test Entry'!$C$3:$AQ$3,Settings!$A$34,'Post-Test Entry'!$C122:$AQ122)/Settings!$C$34),"")</f>
        <v/>
      </c>
      <c r="AC122" s="37">
        <f>IF(OR(O122="",V122=""),"",V122-O122)</f>
        <v/>
      </c>
      <c r="AD122" s="37">
        <f>IF(OR(P122="",W122=""),"",W122-P122)</f>
        <v/>
      </c>
      <c r="AE122" s="37">
        <f>IF(OR(Q122="",X122=""),"",X122-Q122)</f>
        <v/>
      </c>
      <c r="AF122" s="37">
        <f>IF(OR(R122="",Y122=""),"",Y122-R122)</f>
        <v/>
      </c>
      <c r="AG122" s="37">
        <f>IF(OR(S122="",Z122=""),"",Z122-S122)</f>
        <v/>
      </c>
      <c r="AH122" s="37">
        <f>IF(OR(T122="",AA122=""),"",AA122-T122)</f>
        <v/>
      </c>
      <c r="AI122" s="37">
        <f>IF(OR(U122="",AB122=""),"",AB122-U122)</f>
        <v/>
      </c>
      <c r="AJ122" s="30">
        <f>IFERROR(IF($G122&lt;&gt;"",INDEX($V$4:$AB$4,MATCH(MIN($V122:$AB122),$V122:$AB122,0)),IF($D122&lt;&gt;"",INDEX($O$4:$U$4,MATCH(MIN($O122:$U122),$O122:$U122,0)),"")),"")</f>
        <v/>
      </c>
      <c r="AK122" s="30">
        <f>IFERROR(IF($G122&lt;&gt;"",INDEX($V$4:$AB$4,MATCH(SMALL($V122:$AB122,2),$V122:$AB122,0)),IF($D122&lt;&gt;"",INDEX($O$4:$U$4,MATCH(SMALL($O122:$U122,2),$O122:$U122,0)),"")),"")</f>
        <v/>
      </c>
      <c r="AL122" s="30">
        <f>IF(OR(G122="",Settings!$B$17=""),"",IF(OR(ABS(G122-Settings!$B$5)&lt;=Settings!$B$17,ABS(G122-Settings!$B$6)&lt;=Settings!$B$17,ABS(G122-Settings!$B$7)&lt;=Settings!$B$17),"NEAR CUT",""))</f>
        <v/>
      </c>
      <c r="AM122" s="31">
        <f>IF('Post-Test Entry'!$AR122&lt;&gt;"","Post essay: code "&amp;'Post-Test Entry'!$AR122,IF('Pre-Test Entry'!$AR122&lt;&gt;"","Pre essay: code "&amp;'Pre-Test Entry'!$AR122,""))</f>
        <v/>
      </c>
      <c r="AN122" s="39">
        <f>IFERROR(IF($AJ122="","",INDEX(Settings!$D$28:$D$34,MATCH($AJ122,Settings!$A$28:$A$34,0))),"")</f>
        <v/>
      </c>
      <c r="AP122">
        <f>IF(D122="","",D122^2)</f>
        <v/>
      </c>
      <c r="AQ122">
        <f>IF(G122="","",G122^2)</f>
        <v/>
      </c>
    </row>
    <row r="123">
      <c r="A123" s="30">
        <f>IF(Roster!$A123="","",Roster!$A123)</f>
        <v/>
      </c>
      <c r="B123" s="31">
        <f>IF(Roster!$B123&lt;&gt;"",Roster!$C123&amp;" "&amp;Roster!$B123,"")</f>
        <v/>
      </c>
      <c r="C123" s="30">
        <f>IF(Roster!$B123&lt;&gt;"",Roster!$D123,"")</f>
        <v/>
      </c>
      <c r="D123" s="16">
        <f>IF(AND(Roster!$B123&lt;&gt;"",COUNT('Pre-Test Entry'!$C123:$AQ123)&gt;0),'Pre-Test Entry'!$AS123,"")</f>
        <v/>
      </c>
      <c r="E123" s="37">
        <f>IFERROR(D123/Settings!$B$8,"")</f>
        <v/>
      </c>
      <c r="F123" s="31">
        <f>IF(D123="","",IF(D123&gt;=Settings!$B$7,"Distinguished Learner",IF(D123&gt;=Settings!$B$6,"Proficient Learner",IF(D123&gt;=Settings!$B$5,"Developing Learner","Beginning Learner"))))</f>
        <v/>
      </c>
      <c r="G123" s="16">
        <f>IF(AND(Roster!$B123&lt;&gt;"",COUNT('Post-Test Entry'!$C123:$AQ123)&gt;0),'Post-Test Entry'!$AS123,"")</f>
        <v/>
      </c>
      <c r="H123" s="37">
        <f>IFERROR(G123/Settings!$B$8,"")</f>
        <v/>
      </c>
      <c r="I123" s="31">
        <f>IF(G123="","",IF(G123&gt;=Settings!$B$7,"Distinguished Learner",IF(G123&gt;=Settings!$B$6,"Proficient Learner",IF(G123&gt;=Settings!$B$5,"Developing Learner","Beginning Learner"))))</f>
        <v/>
      </c>
      <c r="J123" s="16">
        <f>IF(OR(D123="",G123=""),"",G123-D123)</f>
        <v/>
      </c>
      <c r="K123" s="37">
        <f>IFERROR(IF(OR(J123="",J123&lt;=0),"",(G123-D123)/(Settings!$B$8-D123)),"")</f>
        <v/>
      </c>
      <c r="L123" s="38">
        <f>IFERROR(IF(J123="","",(G123-D123)/(Settings!$B$17*SQRT(2))),"")</f>
        <v/>
      </c>
      <c r="M123" s="30">
        <f>IF(L123="","",IF(ABS(L123)&gt;=1.96,"Yes","No"))</f>
        <v/>
      </c>
      <c r="N123" s="30">
        <f>IF(J123="","",IF(J123&gt;=Settings!$B$15,"Yes","No"))</f>
        <v/>
      </c>
      <c r="O123" s="37">
        <f>IFERROR(IF($D123="","",SUMIF('Pre-Test Entry'!$C$3:$AQ$3,Settings!$A$28,'Pre-Test Entry'!$C123:$AQ123)/Settings!$C$28),"")</f>
        <v/>
      </c>
      <c r="P123" s="37">
        <f>IFERROR(IF($D123="","",SUMIF('Pre-Test Entry'!$C$3:$AQ$3,Settings!$A$29,'Pre-Test Entry'!$C123:$AQ123)/Settings!$C$29),"")</f>
        <v/>
      </c>
      <c r="Q123" s="37">
        <f>IFERROR(IF($D123="","",SUMIF('Pre-Test Entry'!$C$3:$AQ$3,Settings!$A$30,'Pre-Test Entry'!$C123:$AQ123)/Settings!$C$30),"")</f>
        <v/>
      </c>
      <c r="R123" s="37">
        <f>IFERROR(IF($D123="","",SUMIF('Pre-Test Entry'!$C$3:$AQ$3,Settings!$A$31,'Pre-Test Entry'!$C123:$AQ123)/Settings!$C$31),"")</f>
        <v/>
      </c>
      <c r="S123" s="37">
        <f>IFERROR(IF($D123="","",SUMIF('Pre-Test Entry'!$C$3:$AQ$3,Settings!$A$32,'Pre-Test Entry'!$C123:$AQ123)/Settings!$C$32),"")</f>
        <v/>
      </c>
      <c r="T123" s="37">
        <f>IFERROR(IF($D123="","",SUMIF('Pre-Test Entry'!$C$3:$AQ$3,Settings!$A$33,'Pre-Test Entry'!$C123:$AQ123)/Settings!$C$33),"")</f>
        <v/>
      </c>
      <c r="U123" s="37">
        <f>IFERROR(IF($D123="","",SUMIF('Pre-Test Entry'!$C$3:$AQ$3,Settings!$A$34,'Pre-Test Entry'!$C123:$AQ123)/Settings!$C$34),"")</f>
        <v/>
      </c>
      <c r="V123" s="37">
        <f>IFERROR(IF($G123="","",SUMIF('Post-Test Entry'!$C$3:$AQ$3,Settings!$A$28,'Post-Test Entry'!$C123:$AQ123)/Settings!$C$28),"")</f>
        <v/>
      </c>
      <c r="W123" s="37">
        <f>IFERROR(IF($G123="","",SUMIF('Post-Test Entry'!$C$3:$AQ$3,Settings!$A$29,'Post-Test Entry'!$C123:$AQ123)/Settings!$C$29),"")</f>
        <v/>
      </c>
      <c r="X123" s="37">
        <f>IFERROR(IF($G123="","",SUMIF('Post-Test Entry'!$C$3:$AQ$3,Settings!$A$30,'Post-Test Entry'!$C123:$AQ123)/Settings!$C$30),"")</f>
        <v/>
      </c>
      <c r="Y123" s="37">
        <f>IFERROR(IF($G123="","",SUMIF('Post-Test Entry'!$C$3:$AQ$3,Settings!$A$31,'Post-Test Entry'!$C123:$AQ123)/Settings!$C$31),"")</f>
        <v/>
      </c>
      <c r="Z123" s="37">
        <f>IFERROR(IF($G123="","",SUMIF('Post-Test Entry'!$C$3:$AQ$3,Settings!$A$32,'Post-Test Entry'!$C123:$AQ123)/Settings!$C$32),"")</f>
        <v/>
      </c>
      <c r="AA123" s="37">
        <f>IFERROR(IF($G123="","",SUMIF('Post-Test Entry'!$C$3:$AQ$3,Settings!$A$33,'Post-Test Entry'!$C123:$AQ123)/Settings!$C$33),"")</f>
        <v/>
      </c>
      <c r="AB123" s="37">
        <f>IFERROR(IF($G123="","",SUMIF('Post-Test Entry'!$C$3:$AQ$3,Settings!$A$34,'Post-Test Entry'!$C123:$AQ123)/Settings!$C$34),"")</f>
        <v/>
      </c>
      <c r="AC123" s="37">
        <f>IF(OR(O123="",V123=""),"",V123-O123)</f>
        <v/>
      </c>
      <c r="AD123" s="37">
        <f>IF(OR(P123="",W123=""),"",W123-P123)</f>
        <v/>
      </c>
      <c r="AE123" s="37">
        <f>IF(OR(Q123="",X123=""),"",X123-Q123)</f>
        <v/>
      </c>
      <c r="AF123" s="37">
        <f>IF(OR(R123="",Y123=""),"",Y123-R123)</f>
        <v/>
      </c>
      <c r="AG123" s="37">
        <f>IF(OR(S123="",Z123=""),"",Z123-S123)</f>
        <v/>
      </c>
      <c r="AH123" s="37">
        <f>IF(OR(T123="",AA123=""),"",AA123-T123)</f>
        <v/>
      </c>
      <c r="AI123" s="37">
        <f>IF(OR(U123="",AB123=""),"",AB123-U123)</f>
        <v/>
      </c>
      <c r="AJ123" s="30">
        <f>IFERROR(IF($G123&lt;&gt;"",INDEX($V$4:$AB$4,MATCH(MIN($V123:$AB123),$V123:$AB123,0)),IF($D123&lt;&gt;"",INDEX($O$4:$U$4,MATCH(MIN($O123:$U123),$O123:$U123,0)),"")),"")</f>
        <v/>
      </c>
      <c r="AK123" s="30">
        <f>IFERROR(IF($G123&lt;&gt;"",INDEX($V$4:$AB$4,MATCH(SMALL($V123:$AB123,2),$V123:$AB123,0)),IF($D123&lt;&gt;"",INDEX($O$4:$U$4,MATCH(SMALL($O123:$U123,2),$O123:$U123,0)),"")),"")</f>
        <v/>
      </c>
      <c r="AL123" s="30">
        <f>IF(OR(G123="",Settings!$B$17=""),"",IF(OR(ABS(G123-Settings!$B$5)&lt;=Settings!$B$17,ABS(G123-Settings!$B$6)&lt;=Settings!$B$17,ABS(G123-Settings!$B$7)&lt;=Settings!$B$17),"NEAR CUT",""))</f>
        <v/>
      </c>
      <c r="AM123" s="31">
        <f>IF('Post-Test Entry'!$AR123&lt;&gt;"","Post essay: code "&amp;'Post-Test Entry'!$AR123,IF('Pre-Test Entry'!$AR123&lt;&gt;"","Pre essay: code "&amp;'Pre-Test Entry'!$AR123,""))</f>
        <v/>
      </c>
      <c r="AN123" s="39">
        <f>IFERROR(IF($AJ123="","",INDEX(Settings!$D$28:$D$34,MATCH($AJ123,Settings!$A$28:$A$34,0))),"")</f>
        <v/>
      </c>
      <c r="AP123">
        <f>IF(D123="","",D123^2)</f>
        <v/>
      </c>
      <c r="AQ123">
        <f>IF(G123="","",G123^2)</f>
        <v/>
      </c>
    </row>
    <row r="124">
      <c r="A124" s="30">
        <f>IF(Roster!$A124="","",Roster!$A124)</f>
        <v/>
      </c>
      <c r="B124" s="31">
        <f>IF(Roster!$B124&lt;&gt;"",Roster!$C124&amp;" "&amp;Roster!$B124,"")</f>
        <v/>
      </c>
      <c r="C124" s="30">
        <f>IF(Roster!$B124&lt;&gt;"",Roster!$D124,"")</f>
        <v/>
      </c>
      <c r="D124" s="16">
        <f>IF(AND(Roster!$B124&lt;&gt;"",COUNT('Pre-Test Entry'!$C124:$AQ124)&gt;0),'Pre-Test Entry'!$AS124,"")</f>
        <v/>
      </c>
      <c r="E124" s="37">
        <f>IFERROR(D124/Settings!$B$8,"")</f>
        <v/>
      </c>
      <c r="F124" s="31">
        <f>IF(D124="","",IF(D124&gt;=Settings!$B$7,"Distinguished Learner",IF(D124&gt;=Settings!$B$6,"Proficient Learner",IF(D124&gt;=Settings!$B$5,"Developing Learner","Beginning Learner"))))</f>
        <v/>
      </c>
      <c r="G124" s="16">
        <f>IF(AND(Roster!$B124&lt;&gt;"",COUNT('Post-Test Entry'!$C124:$AQ124)&gt;0),'Post-Test Entry'!$AS124,"")</f>
        <v/>
      </c>
      <c r="H124" s="37">
        <f>IFERROR(G124/Settings!$B$8,"")</f>
        <v/>
      </c>
      <c r="I124" s="31">
        <f>IF(G124="","",IF(G124&gt;=Settings!$B$7,"Distinguished Learner",IF(G124&gt;=Settings!$B$6,"Proficient Learner",IF(G124&gt;=Settings!$B$5,"Developing Learner","Beginning Learner"))))</f>
        <v/>
      </c>
      <c r="J124" s="16">
        <f>IF(OR(D124="",G124=""),"",G124-D124)</f>
        <v/>
      </c>
      <c r="K124" s="37">
        <f>IFERROR(IF(OR(J124="",J124&lt;=0),"",(G124-D124)/(Settings!$B$8-D124)),"")</f>
        <v/>
      </c>
      <c r="L124" s="38">
        <f>IFERROR(IF(J124="","",(G124-D124)/(Settings!$B$17*SQRT(2))),"")</f>
        <v/>
      </c>
      <c r="M124" s="30">
        <f>IF(L124="","",IF(ABS(L124)&gt;=1.96,"Yes","No"))</f>
        <v/>
      </c>
      <c r="N124" s="30">
        <f>IF(J124="","",IF(J124&gt;=Settings!$B$15,"Yes","No"))</f>
        <v/>
      </c>
      <c r="O124" s="37">
        <f>IFERROR(IF($D124="","",SUMIF('Pre-Test Entry'!$C$3:$AQ$3,Settings!$A$28,'Pre-Test Entry'!$C124:$AQ124)/Settings!$C$28),"")</f>
        <v/>
      </c>
      <c r="P124" s="37">
        <f>IFERROR(IF($D124="","",SUMIF('Pre-Test Entry'!$C$3:$AQ$3,Settings!$A$29,'Pre-Test Entry'!$C124:$AQ124)/Settings!$C$29),"")</f>
        <v/>
      </c>
      <c r="Q124" s="37">
        <f>IFERROR(IF($D124="","",SUMIF('Pre-Test Entry'!$C$3:$AQ$3,Settings!$A$30,'Pre-Test Entry'!$C124:$AQ124)/Settings!$C$30),"")</f>
        <v/>
      </c>
      <c r="R124" s="37">
        <f>IFERROR(IF($D124="","",SUMIF('Pre-Test Entry'!$C$3:$AQ$3,Settings!$A$31,'Pre-Test Entry'!$C124:$AQ124)/Settings!$C$31),"")</f>
        <v/>
      </c>
      <c r="S124" s="37">
        <f>IFERROR(IF($D124="","",SUMIF('Pre-Test Entry'!$C$3:$AQ$3,Settings!$A$32,'Pre-Test Entry'!$C124:$AQ124)/Settings!$C$32),"")</f>
        <v/>
      </c>
      <c r="T124" s="37">
        <f>IFERROR(IF($D124="","",SUMIF('Pre-Test Entry'!$C$3:$AQ$3,Settings!$A$33,'Pre-Test Entry'!$C124:$AQ124)/Settings!$C$33),"")</f>
        <v/>
      </c>
      <c r="U124" s="37">
        <f>IFERROR(IF($D124="","",SUMIF('Pre-Test Entry'!$C$3:$AQ$3,Settings!$A$34,'Pre-Test Entry'!$C124:$AQ124)/Settings!$C$34),"")</f>
        <v/>
      </c>
      <c r="V124" s="37">
        <f>IFERROR(IF($G124="","",SUMIF('Post-Test Entry'!$C$3:$AQ$3,Settings!$A$28,'Post-Test Entry'!$C124:$AQ124)/Settings!$C$28),"")</f>
        <v/>
      </c>
      <c r="W124" s="37">
        <f>IFERROR(IF($G124="","",SUMIF('Post-Test Entry'!$C$3:$AQ$3,Settings!$A$29,'Post-Test Entry'!$C124:$AQ124)/Settings!$C$29),"")</f>
        <v/>
      </c>
      <c r="X124" s="37">
        <f>IFERROR(IF($G124="","",SUMIF('Post-Test Entry'!$C$3:$AQ$3,Settings!$A$30,'Post-Test Entry'!$C124:$AQ124)/Settings!$C$30),"")</f>
        <v/>
      </c>
      <c r="Y124" s="37">
        <f>IFERROR(IF($G124="","",SUMIF('Post-Test Entry'!$C$3:$AQ$3,Settings!$A$31,'Post-Test Entry'!$C124:$AQ124)/Settings!$C$31),"")</f>
        <v/>
      </c>
      <c r="Z124" s="37">
        <f>IFERROR(IF($G124="","",SUMIF('Post-Test Entry'!$C$3:$AQ$3,Settings!$A$32,'Post-Test Entry'!$C124:$AQ124)/Settings!$C$32),"")</f>
        <v/>
      </c>
      <c r="AA124" s="37">
        <f>IFERROR(IF($G124="","",SUMIF('Post-Test Entry'!$C$3:$AQ$3,Settings!$A$33,'Post-Test Entry'!$C124:$AQ124)/Settings!$C$33),"")</f>
        <v/>
      </c>
      <c r="AB124" s="37">
        <f>IFERROR(IF($G124="","",SUMIF('Post-Test Entry'!$C$3:$AQ$3,Settings!$A$34,'Post-Test Entry'!$C124:$AQ124)/Settings!$C$34),"")</f>
        <v/>
      </c>
      <c r="AC124" s="37">
        <f>IF(OR(O124="",V124=""),"",V124-O124)</f>
        <v/>
      </c>
      <c r="AD124" s="37">
        <f>IF(OR(P124="",W124=""),"",W124-P124)</f>
        <v/>
      </c>
      <c r="AE124" s="37">
        <f>IF(OR(Q124="",X124=""),"",X124-Q124)</f>
        <v/>
      </c>
      <c r="AF124" s="37">
        <f>IF(OR(R124="",Y124=""),"",Y124-R124)</f>
        <v/>
      </c>
      <c r="AG124" s="37">
        <f>IF(OR(S124="",Z124=""),"",Z124-S124)</f>
        <v/>
      </c>
      <c r="AH124" s="37">
        <f>IF(OR(T124="",AA124=""),"",AA124-T124)</f>
        <v/>
      </c>
      <c r="AI124" s="37">
        <f>IF(OR(U124="",AB124=""),"",AB124-U124)</f>
        <v/>
      </c>
      <c r="AJ124" s="30">
        <f>IFERROR(IF($G124&lt;&gt;"",INDEX($V$4:$AB$4,MATCH(MIN($V124:$AB124),$V124:$AB124,0)),IF($D124&lt;&gt;"",INDEX($O$4:$U$4,MATCH(MIN($O124:$U124),$O124:$U124,0)),"")),"")</f>
        <v/>
      </c>
      <c r="AK124" s="30">
        <f>IFERROR(IF($G124&lt;&gt;"",INDEX($V$4:$AB$4,MATCH(SMALL($V124:$AB124,2),$V124:$AB124,0)),IF($D124&lt;&gt;"",INDEX($O$4:$U$4,MATCH(SMALL($O124:$U124,2),$O124:$U124,0)),"")),"")</f>
        <v/>
      </c>
      <c r="AL124" s="30">
        <f>IF(OR(G124="",Settings!$B$17=""),"",IF(OR(ABS(G124-Settings!$B$5)&lt;=Settings!$B$17,ABS(G124-Settings!$B$6)&lt;=Settings!$B$17,ABS(G124-Settings!$B$7)&lt;=Settings!$B$17),"NEAR CUT",""))</f>
        <v/>
      </c>
      <c r="AM124" s="31">
        <f>IF('Post-Test Entry'!$AR124&lt;&gt;"","Post essay: code "&amp;'Post-Test Entry'!$AR124,IF('Pre-Test Entry'!$AR124&lt;&gt;"","Pre essay: code "&amp;'Pre-Test Entry'!$AR124,""))</f>
        <v/>
      </c>
      <c r="AN124" s="39">
        <f>IFERROR(IF($AJ124="","",INDEX(Settings!$D$28:$D$34,MATCH($AJ124,Settings!$A$28:$A$34,0))),"")</f>
        <v/>
      </c>
      <c r="AP124">
        <f>IF(D124="","",D124^2)</f>
        <v/>
      </c>
      <c r="AQ124">
        <f>IF(G124="","",G124^2)</f>
        <v/>
      </c>
    </row>
    <row r="125">
      <c r="A125" s="30">
        <f>IF(Roster!$A125="","",Roster!$A125)</f>
        <v/>
      </c>
      <c r="B125" s="31">
        <f>IF(Roster!$B125&lt;&gt;"",Roster!$C125&amp;" "&amp;Roster!$B125,"")</f>
        <v/>
      </c>
      <c r="C125" s="30">
        <f>IF(Roster!$B125&lt;&gt;"",Roster!$D125,"")</f>
        <v/>
      </c>
      <c r="D125" s="16">
        <f>IF(AND(Roster!$B125&lt;&gt;"",COUNT('Pre-Test Entry'!$C125:$AQ125)&gt;0),'Pre-Test Entry'!$AS125,"")</f>
        <v/>
      </c>
      <c r="E125" s="37">
        <f>IFERROR(D125/Settings!$B$8,"")</f>
        <v/>
      </c>
      <c r="F125" s="31">
        <f>IF(D125="","",IF(D125&gt;=Settings!$B$7,"Distinguished Learner",IF(D125&gt;=Settings!$B$6,"Proficient Learner",IF(D125&gt;=Settings!$B$5,"Developing Learner","Beginning Learner"))))</f>
        <v/>
      </c>
      <c r="G125" s="16">
        <f>IF(AND(Roster!$B125&lt;&gt;"",COUNT('Post-Test Entry'!$C125:$AQ125)&gt;0),'Post-Test Entry'!$AS125,"")</f>
        <v/>
      </c>
      <c r="H125" s="37">
        <f>IFERROR(G125/Settings!$B$8,"")</f>
        <v/>
      </c>
      <c r="I125" s="31">
        <f>IF(G125="","",IF(G125&gt;=Settings!$B$7,"Distinguished Learner",IF(G125&gt;=Settings!$B$6,"Proficient Learner",IF(G125&gt;=Settings!$B$5,"Developing Learner","Beginning Learner"))))</f>
        <v/>
      </c>
      <c r="J125" s="16">
        <f>IF(OR(D125="",G125=""),"",G125-D125)</f>
        <v/>
      </c>
      <c r="K125" s="37">
        <f>IFERROR(IF(OR(J125="",J125&lt;=0),"",(G125-D125)/(Settings!$B$8-D125)),"")</f>
        <v/>
      </c>
      <c r="L125" s="38">
        <f>IFERROR(IF(J125="","",(G125-D125)/(Settings!$B$17*SQRT(2))),"")</f>
        <v/>
      </c>
      <c r="M125" s="30">
        <f>IF(L125="","",IF(ABS(L125)&gt;=1.96,"Yes","No"))</f>
        <v/>
      </c>
      <c r="N125" s="30">
        <f>IF(J125="","",IF(J125&gt;=Settings!$B$15,"Yes","No"))</f>
        <v/>
      </c>
      <c r="O125" s="37">
        <f>IFERROR(IF($D125="","",SUMIF('Pre-Test Entry'!$C$3:$AQ$3,Settings!$A$28,'Pre-Test Entry'!$C125:$AQ125)/Settings!$C$28),"")</f>
        <v/>
      </c>
      <c r="P125" s="37">
        <f>IFERROR(IF($D125="","",SUMIF('Pre-Test Entry'!$C$3:$AQ$3,Settings!$A$29,'Pre-Test Entry'!$C125:$AQ125)/Settings!$C$29),"")</f>
        <v/>
      </c>
      <c r="Q125" s="37">
        <f>IFERROR(IF($D125="","",SUMIF('Pre-Test Entry'!$C$3:$AQ$3,Settings!$A$30,'Pre-Test Entry'!$C125:$AQ125)/Settings!$C$30),"")</f>
        <v/>
      </c>
      <c r="R125" s="37">
        <f>IFERROR(IF($D125="","",SUMIF('Pre-Test Entry'!$C$3:$AQ$3,Settings!$A$31,'Pre-Test Entry'!$C125:$AQ125)/Settings!$C$31),"")</f>
        <v/>
      </c>
      <c r="S125" s="37">
        <f>IFERROR(IF($D125="","",SUMIF('Pre-Test Entry'!$C$3:$AQ$3,Settings!$A$32,'Pre-Test Entry'!$C125:$AQ125)/Settings!$C$32),"")</f>
        <v/>
      </c>
      <c r="T125" s="37">
        <f>IFERROR(IF($D125="","",SUMIF('Pre-Test Entry'!$C$3:$AQ$3,Settings!$A$33,'Pre-Test Entry'!$C125:$AQ125)/Settings!$C$33),"")</f>
        <v/>
      </c>
      <c r="U125" s="37">
        <f>IFERROR(IF($D125="","",SUMIF('Pre-Test Entry'!$C$3:$AQ$3,Settings!$A$34,'Pre-Test Entry'!$C125:$AQ125)/Settings!$C$34),"")</f>
        <v/>
      </c>
      <c r="V125" s="37">
        <f>IFERROR(IF($G125="","",SUMIF('Post-Test Entry'!$C$3:$AQ$3,Settings!$A$28,'Post-Test Entry'!$C125:$AQ125)/Settings!$C$28),"")</f>
        <v/>
      </c>
      <c r="W125" s="37">
        <f>IFERROR(IF($G125="","",SUMIF('Post-Test Entry'!$C$3:$AQ$3,Settings!$A$29,'Post-Test Entry'!$C125:$AQ125)/Settings!$C$29),"")</f>
        <v/>
      </c>
      <c r="X125" s="37">
        <f>IFERROR(IF($G125="","",SUMIF('Post-Test Entry'!$C$3:$AQ$3,Settings!$A$30,'Post-Test Entry'!$C125:$AQ125)/Settings!$C$30),"")</f>
        <v/>
      </c>
      <c r="Y125" s="37">
        <f>IFERROR(IF($G125="","",SUMIF('Post-Test Entry'!$C$3:$AQ$3,Settings!$A$31,'Post-Test Entry'!$C125:$AQ125)/Settings!$C$31),"")</f>
        <v/>
      </c>
      <c r="Z125" s="37">
        <f>IFERROR(IF($G125="","",SUMIF('Post-Test Entry'!$C$3:$AQ$3,Settings!$A$32,'Post-Test Entry'!$C125:$AQ125)/Settings!$C$32),"")</f>
        <v/>
      </c>
      <c r="AA125" s="37">
        <f>IFERROR(IF($G125="","",SUMIF('Post-Test Entry'!$C$3:$AQ$3,Settings!$A$33,'Post-Test Entry'!$C125:$AQ125)/Settings!$C$33),"")</f>
        <v/>
      </c>
      <c r="AB125" s="37">
        <f>IFERROR(IF($G125="","",SUMIF('Post-Test Entry'!$C$3:$AQ$3,Settings!$A$34,'Post-Test Entry'!$C125:$AQ125)/Settings!$C$34),"")</f>
        <v/>
      </c>
      <c r="AC125" s="37">
        <f>IF(OR(O125="",V125=""),"",V125-O125)</f>
        <v/>
      </c>
      <c r="AD125" s="37">
        <f>IF(OR(P125="",W125=""),"",W125-P125)</f>
        <v/>
      </c>
      <c r="AE125" s="37">
        <f>IF(OR(Q125="",X125=""),"",X125-Q125)</f>
        <v/>
      </c>
      <c r="AF125" s="37">
        <f>IF(OR(R125="",Y125=""),"",Y125-R125)</f>
        <v/>
      </c>
      <c r="AG125" s="37">
        <f>IF(OR(S125="",Z125=""),"",Z125-S125)</f>
        <v/>
      </c>
      <c r="AH125" s="37">
        <f>IF(OR(T125="",AA125=""),"",AA125-T125)</f>
        <v/>
      </c>
      <c r="AI125" s="37">
        <f>IF(OR(U125="",AB125=""),"",AB125-U125)</f>
        <v/>
      </c>
      <c r="AJ125" s="30">
        <f>IFERROR(IF($G125&lt;&gt;"",INDEX($V$4:$AB$4,MATCH(MIN($V125:$AB125),$V125:$AB125,0)),IF($D125&lt;&gt;"",INDEX($O$4:$U$4,MATCH(MIN($O125:$U125),$O125:$U125,0)),"")),"")</f>
        <v/>
      </c>
      <c r="AK125" s="30">
        <f>IFERROR(IF($G125&lt;&gt;"",INDEX($V$4:$AB$4,MATCH(SMALL($V125:$AB125,2),$V125:$AB125,0)),IF($D125&lt;&gt;"",INDEX($O$4:$U$4,MATCH(SMALL($O125:$U125,2),$O125:$U125,0)),"")),"")</f>
        <v/>
      </c>
      <c r="AL125" s="30">
        <f>IF(OR(G125="",Settings!$B$17=""),"",IF(OR(ABS(G125-Settings!$B$5)&lt;=Settings!$B$17,ABS(G125-Settings!$B$6)&lt;=Settings!$B$17,ABS(G125-Settings!$B$7)&lt;=Settings!$B$17),"NEAR CUT",""))</f>
        <v/>
      </c>
      <c r="AM125" s="31">
        <f>IF('Post-Test Entry'!$AR125&lt;&gt;"","Post essay: code "&amp;'Post-Test Entry'!$AR125,IF('Pre-Test Entry'!$AR125&lt;&gt;"","Pre essay: code "&amp;'Pre-Test Entry'!$AR125,""))</f>
        <v/>
      </c>
      <c r="AN125" s="39">
        <f>IFERROR(IF($AJ125="","",INDEX(Settings!$D$28:$D$34,MATCH($AJ125,Settings!$A$28:$A$34,0))),"")</f>
        <v/>
      </c>
      <c r="AP125">
        <f>IF(D125="","",D125^2)</f>
        <v/>
      </c>
      <c r="AQ125">
        <f>IF(G125="","",G125^2)</f>
        <v/>
      </c>
    </row>
    <row r="126">
      <c r="A126" s="30">
        <f>IF(Roster!$A126="","",Roster!$A126)</f>
        <v/>
      </c>
      <c r="B126" s="31">
        <f>IF(Roster!$B126&lt;&gt;"",Roster!$C126&amp;" "&amp;Roster!$B126,"")</f>
        <v/>
      </c>
      <c r="C126" s="30">
        <f>IF(Roster!$B126&lt;&gt;"",Roster!$D126,"")</f>
        <v/>
      </c>
      <c r="D126" s="16">
        <f>IF(AND(Roster!$B126&lt;&gt;"",COUNT('Pre-Test Entry'!$C126:$AQ126)&gt;0),'Pre-Test Entry'!$AS126,"")</f>
        <v/>
      </c>
      <c r="E126" s="37">
        <f>IFERROR(D126/Settings!$B$8,"")</f>
        <v/>
      </c>
      <c r="F126" s="31">
        <f>IF(D126="","",IF(D126&gt;=Settings!$B$7,"Distinguished Learner",IF(D126&gt;=Settings!$B$6,"Proficient Learner",IF(D126&gt;=Settings!$B$5,"Developing Learner","Beginning Learner"))))</f>
        <v/>
      </c>
      <c r="G126" s="16">
        <f>IF(AND(Roster!$B126&lt;&gt;"",COUNT('Post-Test Entry'!$C126:$AQ126)&gt;0),'Post-Test Entry'!$AS126,"")</f>
        <v/>
      </c>
      <c r="H126" s="37">
        <f>IFERROR(G126/Settings!$B$8,"")</f>
        <v/>
      </c>
      <c r="I126" s="31">
        <f>IF(G126="","",IF(G126&gt;=Settings!$B$7,"Distinguished Learner",IF(G126&gt;=Settings!$B$6,"Proficient Learner",IF(G126&gt;=Settings!$B$5,"Developing Learner","Beginning Learner"))))</f>
        <v/>
      </c>
      <c r="J126" s="16">
        <f>IF(OR(D126="",G126=""),"",G126-D126)</f>
        <v/>
      </c>
      <c r="K126" s="37">
        <f>IFERROR(IF(OR(J126="",J126&lt;=0),"",(G126-D126)/(Settings!$B$8-D126)),"")</f>
        <v/>
      </c>
      <c r="L126" s="38">
        <f>IFERROR(IF(J126="","",(G126-D126)/(Settings!$B$17*SQRT(2))),"")</f>
        <v/>
      </c>
      <c r="M126" s="30">
        <f>IF(L126="","",IF(ABS(L126)&gt;=1.96,"Yes","No"))</f>
        <v/>
      </c>
      <c r="N126" s="30">
        <f>IF(J126="","",IF(J126&gt;=Settings!$B$15,"Yes","No"))</f>
        <v/>
      </c>
      <c r="O126" s="37">
        <f>IFERROR(IF($D126="","",SUMIF('Pre-Test Entry'!$C$3:$AQ$3,Settings!$A$28,'Pre-Test Entry'!$C126:$AQ126)/Settings!$C$28),"")</f>
        <v/>
      </c>
      <c r="P126" s="37">
        <f>IFERROR(IF($D126="","",SUMIF('Pre-Test Entry'!$C$3:$AQ$3,Settings!$A$29,'Pre-Test Entry'!$C126:$AQ126)/Settings!$C$29),"")</f>
        <v/>
      </c>
      <c r="Q126" s="37">
        <f>IFERROR(IF($D126="","",SUMIF('Pre-Test Entry'!$C$3:$AQ$3,Settings!$A$30,'Pre-Test Entry'!$C126:$AQ126)/Settings!$C$30),"")</f>
        <v/>
      </c>
      <c r="R126" s="37">
        <f>IFERROR(IF($D126="","",SUMIF('Pre-Test Entry'!$C$3:$AQ$3,Settings!$A$31,'Pre-Test Entry'!$C126:$AQ126)/Settings!$C$31),"")</f>
        <v/>
      </c>
      <c r="S126" s="37">
        <f>IFERROR(IF($D126="","",SUMIF('Pre-Test Entry'!$C$3:$AQ$3,Settings!$A$32,'Pre-Test Entry'!$C126:$AQ126)/Settings!$C$32),"")</f>
        <v/>
      </c>
      <c r="T126" s="37">
        <f>IFERROR(IF($D126="","",SUMIF('Pre-Test Entry'!$C$3:$AQ$3,Settings!$A$33,'Pre-Test Entry'!$C126:$AQ126)/Settings!$C$33),"")</f>
        <v/>
      </c>
      <c r="U126" s="37">
        <f>IFERROR(IF($D126="","",SUMIF('Pre-Test Entry'!$C$3:$AQ$3,Settings!$A$34,'Pre-Test Entry'!$C126:$AQ126)/Settings!$C$34),"")</f>
        <v/>
      </c>
      <c r="V126" s="37">
        <f>IFERROR(IF($G126="","",SUMIF('Post-Test Entry'!$C$3:$AQ$3,Settings!$A$28,'Post-Test Entry'!$C126:$AQ126)/Settings!$C$28),"")</f>
        <v/>
      </c>
      <c r="W126" s="37">
        <f>IFERROR(IF($G126="","",SUMIF('Post-Test Entry'!$C$3:$AQ$3,Settings!$A$29,'Post-Test Entry'!$C126:$AQ126)/Settings!$C$29),"")</f>
        <v/>
      </c>
      <c r="X126" s="37">
        <f>IFERROR(IF($G126="","",SUMIF('Post-Test Entry'!$C$3:$AQ$3,Settings!$A$30,'Post-Test Entry'!$C126:$AQ126)/Settings!$C$30),"")</f>
        <v/>
      </c>
      <c r="Y126" s="37">
        <f>IFERROR(IF($G126="","",SUMIF('Post-Test Entry'!$C$3:$AQ$3,Settings!$A$31,'Post-Test Entry'!$C126:$AQ126)/Settings!$C$31),"")</f>
        <v/>
      </c>
      <c r="Z126" s="37">
        <f>IFERROR(IF($G126="","",SUMIF('Post-Test Entry'!$C$3:$AQ$3,Settings!$A$32,'Post-Test Entry'!$C126:$AQ126)/Settings!$C$32),"")</f>
        <v/>
      </c>
      <c r="AA126" s="37">
        <f>IFERROR(IF($G126="","",SUMIF('Post-Test Entry'!$C$3:$AQ$3,Settings!$A$33,'Post-Test Entry'!$C126:$AQ126)/Settings!$C$33),"")</f>
        <v/>
      </c>
      <c r="AB126" s="37">
        <f>IFERROR(IF($G126="","",SUMIF('Post-Test Entry'!$C$3:$AQ$3,Settings!$A$34,'Post-Test Entry'!$C126:$AQ126)/Settings!$C$34),"")</f>
        <v/>
      </c>
      <c r="AC126" s="37">
        <f>IF(OR(O126="",V126=""),"",V126-O126)</f>
        <v/>
      </c>
      <c r="AD126" s="37">
        <f>IF(OR(P126="",W126=""),"",W126-P126)</f>
        <v/>
      </c>
      <c r="AE126" s="37">
        <f>IF(OR(Q126="",X126=""),"",X126-Q126)</f>
        <v/>
      </c>
      <c r="AF126" s="37">
        <f>IF(OR(R126="",Y126=""),"",Y126-R126)</f>
        <v/>
      </c>
      <c r="AG126" s="37">
        <f>IF(OR(S126="",Z126=""),"",Z126-S126)</f>
        <v/>
      </c>
      <c r="AH126" s="37">
        <f>IF(OR(T126="",AA126=""),"",AA126-T126)</f>
        <v/>
      </c>
      <c r="AI126" s="37">
        <f>IF(OR(U126="",AB126=""),"",AB126-U126)</f>
        <v/>
      </c>
      <c r="AJ126" s="30">
        <f>IFERROR(IF($G126&lt;&gt;"",INDEX($V$4:$AB$4,MATCH(MIN($V126:$AB126),$V126:$AB126,0)),IF($D126&lt;&gt;"",INDEX($O$4:$U$4,MATCH(MIN($O126:$U126),$O126:$U126,0)),"")),"")</f>
        <v/>
      </c>
      <c r="AK126" s="30">
        <f>IFERROR(IF($G126&lt;&gt;"",INDEX($V$4:$AB$4,MATCH(SMALL($V126:$AB126,2),$V126:$AB126,0)),IF($D126&lt;&gt;"",INDEX($O$4:$U$4,MATCH(SMALL($O126:$U126,2),$O126:$U126,0)),"")),"")</f>
        <v/>
      </c>
      <c r="AL126" s="30">
        <f>IF(OR(G126="",Settings!$B$17=""),"",IF(OR(ABS(G126-Settings!$B$5)&lt;=Settings!$B$17,ABS(G126-Settings!$B$6)&lt;=Settings!$B$17,ABS(G126-Settings!$B$7)&lt;=Settings!$B$17),"NEAR CUT",""))</f>
        <v/>
      </c>
      <c r="AM126" s="31">
        <f>IF('Post-Test Entry'!$AR126&lt;&gt;"","Post essay: code "&amp;'Post-Test Entry'!$AR126,IF('Pre-Test Entry'!$AR126&lt;&gt;"","Pre essay: code "&amp;'Pre-Test Entry'!$AR126,""))</f>
        <v/>
      </c>
      <c r="AN126" s="39">
        <f>IFERROR(IF($AJ126="","",INDEX(Settings!$D$28:$D$34,MATCH($AJ126,Settings!$A$28:$A$34,0))),"")</f>
        <v/>
      </c>
      <c r="AP126">
        <f>IF(D126="","",D126^2)</f>
        <v/>
      </c>
      <c r="AQ126">
        <f>IF(G126="","",G126^2)</f>
        <v/>
      </c>
    </row>
    <row r="127">
      <c r="A127" s="30">
        <f>IF(Roster!$A127="","",Roster!$A127)</f>
        <v/>
      </c>
      <c r="B127" s="31">
        <f>IF(Roster!$B127&lt;&gt;"",Roster!$C127&amp;" "&amp;Roster!$B127,"")</f>
        <v/>
      </c>
      <c r="C127" s="30">
        <f>IF(Roster!$B127&lt;&gt;"",Roster!$D127,"")</f>
        <v/>
      </c>
      <c r="D127" s="16">
        <f>IF(AND(Roster!$B127&lt;&gt;"",COUNT('Pre-Test Entry'!$C127:$AQ127)&gt;0),'Pre-Test Entry'!$AS127,"")</f>
        <v/>
      </c>
      <c r="E127" s="37">
        <f>IFERROR(D127/Settings!$B$8,"")</f>
        <v/>
      </c>
      <c r="F127" s="31">
        <f>IF(D127="","",IF(D127&gt;=Settings!$B$7,"Distinguished Learner",IF(D127&gt;=Settings!$B$6,"Proficient Learner",IF(D127&gt;=Settings!$B$5,"Developing Learner","Beginning Learner"))))</f>
        <v/>
      </c>
      <c r="G127" s="16">
        <f>IF(AND(Roster!$B127&lt;&gt;"",COUNT('Post-Test Entry'!$C127:$AQ127)&gt;0),'Post-Test Entry'!$AS127,"")</f>
        <v/>
      </c>
      <c r="H127" s="37">
        <f>IFERROR(G127/Settings!$B$8,"")</f>
        <v/>
      </c>
      <c r="I127" s="31">
        <f>IF(G127="","",IF(G127&gt;=Settings!$B$7,"Distinguished Learner",IF(G127&gt;=Settings!$B$6,"Proficient Learner",IF(G127&gt;=Settings!$B$5,"Developing Learner","Beginning Learner"))))</f>
        <v/>
      </c>
      <c r="J127" s="16">
        <f>IF(OR(D127="",G127=""),"",G127-D127)</f>
        <v/>
      </c>
      <c r="K127" s="37">
        <f>IFERROR(IF(OR(J127="",J127&lt;=0),"",(G127-D127)/(Settings!$B$8-D127)),"")</f>
        <v/>
      </c>
      <c r="L127" s="38">
        <f>IFERROR(IF(J127="","",(G127-D127)/(Settings!$B$17*SQRT(2))),"")</f>
        <v/>
      </c>
      <c r="M127" s="30">
        <f>IF(L127="","",IF(ABS(L127)&gt;=1.96,"Yes","No"))</f>
        <v/>
      </c>
      <c r="N127" s="30">
        <f>IF(J127="","",IF(J127&gt;=Settings!$B$15,"Yes","No"))</f>
        <v/>
      </c>
      <c r="O127" s="37">
        <f>IFERROR(IF($D127="","",SUMIF('Pre-Test Entry'!$C$3:$AQ$3,Settings!$A$28,'Pre-Test Entry'!$C127:$AQ127)/Settings!$C$28),"")</f>
        <v/>
      </c>
      <c r="P127" s="37">
        <f>IFERROR(IF($D127="","",SUMIF('Pre-Test Entry'!$C$3:$AQ$3,Settings!$A$29,'Pre-Test Entry'!$C127:$AQ127)/Settings!$C$29),"")</f>
        <v/>
      </c>
      <c r="Q127" s="37">
        <f>IFERROR(IF($D127="","",SUMIF('Pre-Test Entry'!$C$3:$AQ$3,Settings!$A$30,'Pre-Test Entry'!$C127:$AQ127)/Settings!$C$30),"")</f>
        <v/>
      </c>
      <c r="R127" s="37">
        <f>IFERROR(IF($D127="","",SUMIF('Pre-Test Entry'!$C$3:$AQ$3,Settings!$A$31,'Pre-Test Entry'!$C127:$AQ127)/Settings!$C$31),"")</f>
        <v/>
      </c>
      <c r="S127" s="37">
        <f>IFERROR(IF($D127="","",SUMIF('Pre-Test Entry'!$C$3:$AQ$3,Settings!$A$32,'Pre-Test Entry'!$C127:$AQ127)/Settings!$C$32),"")</f>
        <v/>
      </c>
      <c r="T127" s="37">
        <f>IFERROR(IF($D127="","",SUMIF('Pre-Test Entry'!$C$3:$AQ$3,Settings!$A$33,'Pre-Test Entry'!$C127:$AQ127)/Settings!$C$33),"")</f>
        <v/>
      </c>
      <c r="U127" s="37">
        <f>IFERROR(IF($D127="","",SUMIF('Pre-Test Entry'!$C$3:$AQ$3,Settings!$A$34,'Pre-Test Entry'!$C127:$AQ127)/Settings!$C$34),"")</f>
        <v/>
      </c>
      <c r="V127" s="37">
        <f>IFERROR(IF($G127="","",SUMIF('Post-Test Entry'!$C$3:$AQ$3,Settings!$A$28,'Post-Test Entry'!$C127:$AQ127)/Settings!$C$28),"")</f>
        <v/>
      </c>
      <c r="W127" s="37">
        <f>IFERROR(IF($G127="","",SUMIF('Post-Test Entry'!$C$3:$AQ$3,Settings!$A$29,'Post-Test Entry'!$C127:$AQ127)/Settings!$C$29),"")</f>
        <v/>
      </c>
      <c r="X127" s="37">
        <f>IFERROR(IF($G127="","",SUMIF('Post-Test Entry'!$C$3:$AQ$3,Settings!$A$30,'Post-Test Entry'!$C127:$AQ127)/Settings!$C$30),"")</f>
        <v/>
      </c>
      <c r="Y127" s="37">
        <f>IFERROR(IF($G127="","",SUMIF('Post-Test Entry'!$C$3:$AQ$3,Settings!$A$31,'Post-Test Entry'!$C127:$AQ127)/Settings!$C$31),"")</f>
        <v/>
      </c>
      <c r="Z127" s="37">
        <f>IFERROR(IF($G127="","",SUMIF('Post-Test Entry'!$C$3:$AQ$3,Settings!$A$32,'Post-Test Entry'!$C127:$AQ127)/Settings!$C$32),"")</f>
        <v/>
      </c>
      <c r="AA127" s="37">
        <f>IFERROR(IF($G127="","",SUMIF('Post-Test Entry'!$C$3:$AQ$3,Settings!$A$33,'Post-Test Entry'!$C127:$AQ127)/Settings!$C$33),"")</f>
        <v/>
      </c>
      <c r="AB127" s="37">
        <f>IFERROR(IF($G127="","",SUMIF('Post-Test Entry'!$C$3:$AQ$3,Settings!$A$34,'Post-Test Entry'!$C127:$AQ127)/Settings!$C$34),"")</f>
        <v/>
      </c>
      <c r="AC127" s="37">
        <f>IF(OR(O127="",V127=""),"",V127-O127)</f>
        <v/>
      </c>
      <c r="AD127" s="37">
        <f>IF(OR(P127="",W127=""),"",W127-P127)</f>
        <v/>
      </c>
      <c r="AE127" s="37">
        <f>IF(OR(Q127="",X127=""),"",X127-Q127)</f>
        <v/>
      </c>
      <c r="AF127" s="37">
        <f>IF(OR(R127="",Y127=""),"",Y127-R127)</f>
        <v/>
      </c>
      <c r="AG127" s="37">
        <f>IF(OR(S127="",Z127=""),"",Z127-S127)</f>
        <v/>
      </c>
      <c r="AH127" s="37">
        <f>IF(OR(T127="",AA127=""),"",AA127-T127)</f>
        <v/>
      </c>
      <c r="AI127" s="37">
        <f>IF(OR(U127="",AB127=""),"",AB127-U127)</f>
        <v/>
      </c>
      <c r="AJ127" s="30">
        <f>IFERROR(IF($G127&lt;&gt;"",INDEX($V$4:$AB$4,MATCH(MIN($V127:$AB127),$V127:$AB127,0)),IF($D127&lt;&gt;"",INDEX($O$4:$U$4,MATCH(MIN($O127:$U127),$O127:$U127,0)),"")),"")</f>
        <v/>
      </c>
      <c r="AK127" s="30">
        <f>IFERROR(IF($G127&lt;&gt;"",INDEX($V$4:$AB$4,MATCH(SMALL($V127:$AB127,2),$V127:$AB127,0)),IF($D127&lt;&gt;"",INDEX($O$4:$U$4,MATCH(SMALL($O127:$U127,2),$O127:$U127,0)),"")),"")</f>
        <v/>
      </c>
      <c r="AL127" s="30">
        <f>IF(OR(G127="",Settings!$B$17=""),"",IF(OR(ABS(G127-Settings!$B$5)&lt;=Settings!$B$17,ABS(G127-Settings!$B$6)&lt;=Settings!$B$17,ABS(G127-Settings!$B$7)&lt;=Settings!$B$17),"NEAR CUT",""))</f>
        <v/>
      </c>
      <c r="AM127" s="31">
        <f>IF('Post-Test Entry'!$AR127&lt;&gt;"","Post essay: code "&amp;'Post-Test Entry'!$AR127,IF('Pre-Test Entry'!$AR127&lt;&gt;"","Pre essay: code "&amp;'Pre-Test Entry'!$AR127,""))</f>
        <v/>
      </c>
      <c r="AN127" s="39">
        <f>IFERROR(IF($AJ127="","",INDEX(Settings!$D$28:$D$34,MATCH($AJ127,Settings!$A$28:$A$34,0))),"")</f>
        <v/>
      </c>
      <c r="AP127">
        <f>IF(D127="","",D127^2)</f>
        <v/>
      </c>
      <c r="AQ127">
        <f>IF(G127="","",G127^2)</f>
        <v/>
      </c>
    </row>
    <row r="128">
      <c r="A128" s="30">
        <f>IF(Roster!$A128="","",Roster!$A128)</f>
        <v/>
      </c>
      <c r="B128" s="31">
        <f>IF(Roster!$B128&lt;&gt;"",Roster!$C128&amp;" "&amp;Roster!$B128,"")</f>
        <v/>
      </c>
      <c r="C128" s="30">
        <f>IF(Roster!$B128&lt;&gt;"",Roster!$D128,"")</f>
        <v/>
      </c>
      <c r="D128" s="16">
        <f>IF(AND(Roster!$B128&lt;&gt;"",COUNT('Pre-Test Entry'!$C128:$AQ128)&gt;0),'Pre-Test Entry'!$AS128,"")</f>
        <v/>
      </c>
      <c r="E128" s="37">
        <f>IFERROR(D128/Settings!$B$8,"")</f>
        <v/>
      </c>
      <c r="F128" s="31">
        <f>IF(D128="","",IF(D128&gt;=Settings!$B$7,"Distinguished Learner",IF(D128&gt;=Settings!$B$6,"Proficient Learner",IF(D128&gt;=Settings!$B$5,"Developing Learner","Beginning Learner"))))</f>
        <v/>
      </c>
      <c r="G128" s="16">
        <f>IF(AND(Roster!$B128&lt;&gt;"",COUNT('Post-Test Entry'!$C128:$AQ128)&gt;0),'Post-Test Entry'!$AS128,"")</f>
        <v/>
      </c>
      <c r="H128" s="37">
        <f>IFERROR(G128/Settings!$B$8,"")</f>
        <v/>
      </c>
      <c r="I128" s="31">
        <f>IF(G128="","",IF(G128&gt;=Settings!$B$7,"Distinguished Learner",IF(G128&gt;=Settings!$B$6,"Proficient Learner",IF(G128&gt;=Settings!$B$5,"Developing Learner","Beginning Learner"))))</f>
        <v/>
      </c>
      <c r="J128" s="16">
        <f>IF(OR(D128="",G128=""),"",G128-D128)</f>
        <v/>
      </c>
      <c r="K128" s="37">
        <f>IFERROR(IF(OR(J128="",J128&lt;=0),"",(G128-D128)/(Settings!$B$8-D128)),"")</f>
        <v/>
      </c>
      <c r="L128" s="38">
        <f>IFERROR(IF(J128="","",(G128-D128)/(Settings!$B$17*SQRT(2))),"")</f>
        <v/>
      </c>
      <c r="M128" s="30">
        <f>IF(L128="","",IF(ABS(L128)&gt;=1.96,"Yes","No"))</f>
        <v/>
      </c>
      <c r="N128" s="30">
        <f>IF(J128="","",IF(J128&gt;=Settings!$B$15,"Yes","No"))</f>
        <v/>
      </c>
      <c r="O128" s="37">
        <f>IFERROR(IF($D128="","",SUMIF('Pre-Test Entry'!$C$3:$AQ$3,Settings!$A$28,'Pre-Test Entry'!$C128:$AQ128)/Settings!$C$28),"")</f>
        <v/>
      </c>
      <c r="P128" s="37">
        <f>IFERROR(IF($D128="","",SUMIF('Pre-Test Entry'!$C$3:$AQ$3,Settings!$A$29,'Pre-Test Entry'!$C128:$AQ128)/Settings!$C$29),"")</f>
        <v/>
      </c>
      <c r="Q128" s="37">
        <f>IFERROR(IF($D128="","",SUMIF('Pre-Test Entry'!$C$3:$AQ$3,Settings!$A$30,'Pre-Test Entry'!$C128:$AQ128)/Settings!$C$30),"")</f>
        <v/>
      </c>
      <c r="R128" s="37">
        <f>IFERROR(IF($D128="","",SUMIF('Pre-Test Entry'!$C$3:$AQ$3,Settings!$A$31,'Pre-Test Entry'!$C128:$AQ128)/Settings!$C$31),"")</f>
        <v/>
      </c>
      <c r="S128" s="37">
        <f>IFERROR(IF($D128="","",SUMIF('Pre-Test Entry'!$C$3:$AQ$3,Settings!$A$32,'Pre-Test Entry'!$C128:$AQ128)/Settings!$C$32),"")</f>
        <v/>
      </c>
      <c r="T128" s="37">
        <f>IFERROR(IF($D128="","",SUMIF('Pre-Test Entry'!$C$3:$AQ$3,Settings!$A$33,'Pre-Test Entry'!$C128:$AQ128)/Settings!$C$33),"")</f>
        <v/>
      </c>
      <c r="U128" s="37">
        <f>IFERROR(IF($D128="","",SUMIF('Pre-Test Entry'!$C$3:$AQ$3,Settings!$A$34,'Pre-Test Entry'!$C128:$AQ128)/Settings!$C$34),"")</f>
        <v/>
      </c>
      <c r="V128" s="37">
        <f>IFERROR(IF($G128="","",SUMIF('Post-Test Entry'!$C$3:$AQ$3,Settings!$A$28,'Post-Test Entry'!$C128:$AQ128)/Settings!$C$28),"")</f>
        <v/>
      </c>
      <c r="W128" s="37">
        <f>IFERROR(IF($G128="","",SUMIF('Post-Test Entry'!$C$3:$AQ$3,Settings!$A$29,'Post-Test Entry'!$C128:$AQ128)/Settings!$C$29),"")</f>
        <v/>
      </c>
      <c r="X128" s="37">
        <f>IFERROR(IF($G128="","",SUMIF('Post-Test Entry'!$C$3:$AQ$3,Settings!$A$30,'Post-Test Entry'!$C128:$AQ128)/Settings!$C$30),"")</f>
        <v/>
      </c>
      <c r="Y128" s="37">
        <f>IFERROR(IF($G128="","",SUMIF('Post-Test Entry'!$C$3:$AQ$3,Settings!$A$31,'Post-Test Entry'!$C128:$AQ128)/Settings!$C$31),"")</f>
        <v/>
      </c>
      <c r="Z128" s="37">
        <f>IFERROR(IF($G128="","",SUMIF('Post-Test Entry'!$C$3:$AQ$3,Settings!$A$32,'Post-Test Entry'!$C128:$AQ128)/Settings!$C$32),"")</f>
        <v/>
      </c>
      <c r="AA128" s="37">
        <f>IFERROR(IF($G128="","",SUMIF('Post-Test Entry'!$C$3:$AQ$3,Settings!$A$33,'Post-Test Entry'!$C128:$AQ128)/Settings!$C$33),"")</f>
        <v/>
      </c>
      <c r="AB128" s="37">
        <f>IFERROR(IF($G128="","",SUMIF('Post-Test Entry'!$C$3:$AQ$3,Settings!$A$34,'Post-Test Entry'!$C128:$AQ128)/Settings!$C$34),"")</f>
        <v/>
      </c>
      <c r="AC128" s="37">
        <f>IF(OR(O128="",V128=""),"",V128-O128)</f>
        <v/>
      </c>
      <c r="AD128" s="37">
        <f>IF(OR(P128="",W128=""),"",W128-P128)</f>
        <v/>
      </c>
      <c r="AE128" s="37">
        <f>IF(OR(Q128="",X128=""),"",X128-Q128)</f>
        <v/>
      </c>
      <c r="AF128" s="37">
        <f>IF(OR(R128="",Y128=""),"",Y128-R128)</f>
        <v/>
      </c>
      <c r="AG128" s="37">
        <f>IF(OR(S128="",Z128=""),"",Z128-S128)</f>
        <v/>
      </c>
      <c r="AH128" s="37">
        <f>IF(OR(T128="",AA128=""),"",AA128-T128)</f>
        <v/>
      </c>
      <c r="AI128" s="37">
        <f>IF(OR(U128="",AB128=""),"",AB128-U128)</f>
        <v/>
      </c>
      <c r="AJ128" s="30">
        <f>IFERROR(IF($G128&lt;&gt;"",INDEX($V$4:$AB$4,MATCH(MIN($V128:$AB128),$V128:$AB128,0)),IF($D128&lt;&gt;"",INDEX($O$4:$U$4,MATCH(MIN($O128:$U128),$O128:$U128,0)),"")),"")</f>
        <v/>
      </c>
      <c r="AK128" s="30">
        <f>IFERROR(IF($G128&lt;&gt;"",INDEX($V$4:$AB$4,MATCH(SMALL($V128:$AB128,2),$V128:$AB128,0)),IF($D128&lt;&gt;"",INDEX($O$4:$U$4,MATCH(SMALL($O128:$U128,2),$O128:$U128,0)),"")),"")</f>
        <v/>
      </c>
      <c r="AL128" s="30">
        <f>IF(OR(G128="",Settings!$B$17=""),"",IF(OR(ABS(G128-Settings!$B$5)&lt;=Settings!$B$17,ABS(G128-Settings!$B$6)&lt;=Settings!$B$17,ABS(G128-Settings!$B$7)&lt;=Settings!$B$17),"NEAR CUT",""))</f>
        <v/>
      </c>
      <c r="AM128" s="31">
        <f>IF('Post-Test Entry'!$AR128&lt;&gt;"","Post essay: code "&amp;'Post-Test Entry'!$AR128,IF('Pre-Test Entry'!$AR128&lt;&gt;"","Pre essay: code "&amp;'Pre-Test Entry'!$AR128,""))</f>
        <v/>
      </c>
      <c r="AN128" s="39">
        <f>IFERROR(IF($AJ128="","",INDEX(Settings!$D$28:$D$34,MATCH($AJ128,Settings!$A$28:$A$34,0))),"")</f>
        <v/>
      </c>
      <c r="AP128">
        <f>IF(D128="","",D128^2)</f>
        <v/>
      </c>
      <c r="AQ128">
        <f>IF(G128="","",G128^2)</f>
        <v/>
      </c>
    </row>
    <row r="129">
      <c r="A129" s="30">
        <f>IF(Roster!$A129="","",Roster!$A129)</f>
        <v/>
      </c>
      <c r="B129" s="31">
        <f>IF(Roster!$B129&lt;&gt;"",Roster!$C129&amp;" "&amp;Roster!$B129,"")</f>
        <v/>
      </c>
      <c r="C129" s="30">
        <f>IF(Roster!$B129&lt;&gt;"",Roster!$D129,"")</f>
        <v/>
      </c>
      <c r="D129" s="16">
        <f>IF(AND(Roster!$B129&lt;&gt;"",COUNT('Pre-Test Entry'!$C129:$AQ129)&gt;0),'Pre-Test Entry'!$AS129,"")</f>
        <v/>
      </c>
      <c r="E129" s="37">
        <f>IFERROR(D129/Settings!$B$8,"")</f>
        <v/>
      </c>
      <c r="F129" s="31">
        <f>IF(D129="","",IF(D129&gt;=Settings!$B$7,"Distinguished Learner",IF(D129&gt;=Settings!$B$6,"Proficient Learner",IF(D129&gt;=Settings!$B$5,"Developing Learner","Beginning Learner"))))</f>
        <v/>
      </c>
      <c r="G129" s="16">
        <f>IF(AND(Roster!$B129&lt;&gt;"",COUNT('Post-Test Entry'!$C129:$AQ129)&gt;0),'Post-Test Entry'!$AS129,"")</f>
        <v/>
      </c>
      <c r="H129" s="37">
        <f>IFERROR(G129/Settings!$B$8,"")</f>
        <v/>
      </c>
      <c r="I129" s="31">
        <f>IF(G129="","",IF(G129&gt;=Settings!$B$7,"Distinguished Learner",IF(G129&gt;=Settings!$B$6,"Proficient Learner",IF(G129&gt;=Settings!$B$5,"Developing Learner","Beginning Learner"))))</f>
        <v/>
      </c>
      <c r="J129" s="16">
        <f>IF(OR(D129="",G129=""),"",G129-D129)</f>
        <v/>
      </c>
      <c r="K129" s="37">
        <f>IFERROR(IF(OR(J129="",J129&lt;=0),"",(G129-D129)/(Settings!$B$8-D129)),"")</f>
        <v/>
      </c>
      <c r="L129" s="38">
        <f>IFERROR(IF(J129="","",(G129-D129)/(Settings!$B$17*SQRT(2))),"")</f>
        <v/>
      </c>
      <c r="M129" s="30">
        <f>IF(L129="","",IF(ABS(L129)&gt;=1.96,"Yes","No"))</f>
        <v/>
      </c>
      <c r="N129" s="30">
        <f>IF(J129="","",IF(J129&gt;=Settings!$B$15,"Yes","No"))</f>
        <v/>
      </c>
      <c r="O129" s="37">
        <f>IFERROR(IF($D129="","",SUMIF('Pre-Test Entry'!$C$3:$AQ$3,Settings!$A$28,'Pre-Test Entry'!$C129:$AQ129)/Settings!$C$28),"")</f>
        <v/>
      </c>
      <c r="P129" s="37">
        <f>IFERROR(IF($D129="","",SUMIF('Pre-Test Entry'!$C$3:$AQ$3,Settings!$A$29,'Pre-Test Entry'!$C129:$AQ129)/Settings!$C$29),"")</f>
        <v/>
      </c>
      <c r="Q129" s="37">
        <f>IFERROR(IF($D129="","",SUMIF('Pre-Test Entry'!$C$3:$AQ$3,Settings!$A$30,'Pre-Test Entry'!$C129:$AQ129)/Settings!$C$30),"")</f>
        <v/>
      </c>
      <c r="R129" s="37">
        <f>IFERROR(IF($D129="","",SUMIF('Pre-Test Entry'!$C$3:$AQ$3,Settings!$A$31,'Pre-Test Entry'!$C129:$AQ129)/Settings!$C$31),"")</f>
        <v/>
      </c>
      <c r="S129" s="37">
        <f>IFERROR(IF($D129="","",SUMIF('Pre-Test Entry'!$C$3:$AQ$3,Settings!$A$32,'Pre-Test Entry'!$C129:$AQ129)/Settings!$C$32),"")</f>
        <v/>
      </c>
      <c r="T129" s="37">
        <f>IFERROR(IF($D129="","",SUMIF('Pre-Test Entry'!$C$3:$AQ$3,Settings!$A$33,'Pre-Test Entry'!$C129:$AQ129)/Settings!$C$33),"")</f>
        <v/>
      </c>
      <c r="U129" s="37">
        <f>IFERROR(IF($D129="","",SUMIF('Pre-Test Entry'!$C$3:$AQ$3,Settings!$A$34,'Pre-Test Entry'!$C129:$AQ129)/Settings!$C$34),"")</f>
        <v/>
      </c>
      <c r="V129" s="37">
        <f>IFERROR(IF($G129="","",SUMIF('Post-Test Entry'!$C$3:$AQ$3,Settings!$A$28,'Post-Test Entry'!$C129:$AQ129)/Settings!$C$28),"")</f>
        <v/>
      </c>
      <c r="W129" s="37">
        <f>IFERROR(IF($G129="","",SUMIF('Post-Test Entry'!$C$3:$AQ$3,Settings!$A$29,'Post-Test Entry'!$C129:$AQ129)/Settings!$C$29),"")</f>
        <v/>
      </c>
      <c r="X129" s="37">
        <f>IFERROR(IF($G129="","",SUMIF('Post-Test Entry'!$C$3:$AQ$3,Settings!$A$30,'Post-Test Entry'!$C129:$AQ129)/Settings!$C$30),"")</f>
        <v/>
      </c>
      <c r="Y129" s="37">
        <f>IFERROR(IF($G129="","",SUMIF('Post-Test Entry'!$C$3:$AQ$3,Settings!$A$31,'Post-Test Entry'!$C129:$AQ129)/Settings!$C$31),"")</f>
        <v/>
      </c>
      <c r="Z129" s="37">
        <f>IFERROR(IF($G129="","",SUMIF('Post-Test Entry'!$C$3:$AQ$3,Settings!$A$32,'Post-Test Entry'!$C129:$AQ129)/Settings!$C$32),"")</f>
        <v/>
      </c>
      <c r="AA129" s="37">
        <f>IFERROR(IF($G129="","",SUMIF('Post-Test Entry'!$C$3:$AQ$3,Settings!$A$33,'Post-Test Entry'!$C129:$AQ129)/Settings!$C$33),"")</f>
        <v/>
      </c>
      <c r="AB129" s="37">
        <f>IFERROR(IF($G129="","",SUMIF('Post-Test Entry'!$C$3:$AQ$3,Settings!$A$34,'Post-Test Entry'!$C129:$AQ129)/Settings!$C$34),"")</f>
        <v/>
      </c>
      <c r="AC129" s="37">
        <f>IF(OR(O129="",V129=""),"",V129-O129)</f>
        <v/>
      </c>
      <c r="AD129" s="37">
        <f>IF(OR(P129="",W129=""),"",W129-P129)</f>
        <v/>
      </c>
      <c r="AE129" s="37">
        <f>IF(OR(Q129="",X129=""),"",X129-Q129)</f>
        <v/>
      </c>
      <c r="AF129" s="37">
        <f>IF(OR(R129="",Y129=""),"",Y129-R129)</f>
        <v/>
      </c>
      <c r="AG129" s="37">
        <f>IF(OR(S129="",Z129=""),"",Z129-S129)</f>
        <v/>
      </c>
      <c r="AH129" s="37">
        <f>IF(OR(T129="",AA129=""),"",AA129-T129)</f>
        <v/>
      </c>
      <c r="AI129" s="37">
        <f>IF(OR(U129="",AB129=""),"",AB129-U129)</f>
        <v/>
      </c>
      <c r="AJ129" s="30">
        <f>IFERROR(IF($G129&lt;&gt;"",INDEX($V$4:$AB$4,MATCH(MIN($V129:$AB129),$V129:$AB129,0)),IF($D129&lt;&gt;"",INDEX($O$4:$U$4,MATCH(MIN($O129:$U129),$O129:$U129,0)),"")),"")</f>
        <v/>
      </c>
      <c r="AK129" s="30">
        <f>IFERROR(IF($G129&lt;&gt;"",INDEX($V$4:$AB$4,MATCH(SMALL($V129:$AB129,2),$V129:$AB129,0)),IF($D129&lt;&gt;"",INDEX($O$4:$U$4,MATCH(SMALL($O129:$U129,2),$O129:$U129,0)),"")),"")</f>
        <v/>
      </c>
      <c r="AL129" s="30">
        <f>IF(OR(G129="",Settings!$B$17=""),"",IF(OR(ABS(G129-Settings!$B$5)&lt;=Settings!$B$17,ABS(G129-Settings!$B$6)&lt;=Settings!$B$17,ABS(G129-Settings!$B$7)&lt;=Settings!$B$17),"NEAR CUT",""))</f>
        <v/>
      </c>
      <c r="AM129" s="31">
        <f>IF('Post-Test Entry'!$AR129&lt;&gt;"","Post essay: code "&amp;'Post-Test Entry'!$AR129,IF('Pre-Test Entry'!$AR129&lt;&gt;"","Pre essay: code "&amp;'Pre-Test Entry'!$AR129,""))</f>
        <v/>
      </c>
      <c r="AN129" s="39">
        <f>IFERROR(IF($AJ129="","",INDEX(Settings!$D$28:$D$34,MATCH($AJ129,Settings!$A$28:$A$34,0))),"")</f>
        <v/>
      </c>
      <c r="AP129">
        <f>IF(D129="","",D129^2)</f>
        <v/>
      </c>
      <c r="AQ129">
        <f>IF(G129="","",G129^2)</f>
        <v/>
      </c>
    </row>
    <row r="130">
      <c r="A130" s="30">
        <f>IF(Roster!$A130="","",Roster!$A130)</f>
        <v/>
      </c>
      <c r="B130" s="31">
        <f>IF(Roster!$B130&lt;&gt;"",Roster!$C130&amp;" "&amp;Roster!$B130,"")</f>
        <v/>
      </c>
      <c r="C130" s="30">
        <f>IF(Roster!$B130&lt;&gt;"",Roster!$D130,"")</f>
        <v/>
      </c>
      <c r="D130" s="16">
        <f>IF(AND(Roster!$B130&lt;&gt;"",COUNT('Pre-Test Entry'!$C130:$AQ130)&gt;0),'Pre-Test Entry'!$AS130,"")</f>
        <v/>
      </c>
      <c r="E130" s="37">
        <f>IFERROR(D130/Settings!$B$8,"")</f>
        <v/>
      </c>
      <c r="F130" s="31">
        <f>IF(D130="","",IF(D130&gt;=Settings!$B$7,"Distinguished Learner",IF(D130&gt;=Settings!$B$6,"Proficient Learner",IF(D130&gt;=Settings!$B$5,"Developing Learner","Beginning Learner"))))</f>
        <v/>
      </c>
      <c r="G130" s="16">
        <f>IF(AND(Roster!$B130&lt;&gt;"",COUNT('Post-Test Entry'!$C130:$AQ130)&gt;0),'Post-Test Entry'!$AS130,"")</f>
        <v/>
      </c>
      <c r="H130" s="37">
        <f>IFERROR(G130/Settings!$B$8,"")</f>
        <v/>
      </c>
      <c r="I130" s="31">
        <f>IF(G130="","",IF(G130&gt;=Settings!$B$7,"Distinguished Learner",IF(G130&gt;=Settings!$B$6,"Proficient Learner",IF(G130&gt;=Settings!$B$5,"Developing Learner","Beginning Learner"))))</f>
        <v/>
      </c>
      <c r="J130" s="16">
        <f>IF(OR(D130="",G130=""),"",G130-D130)</f>
        <v/>
      </c>
      <c r="K130" s="37">
        <f>IFERROR(IF(OR(J130="",J130&lt;=0),"",(G130-D130)/(Settings!$B$8-D130)),"")</f>
        <v/>
      </c>
      <c r="L130" s="38">
        <f>IFERROR(IF(J130="","",(G130-D130)/(Settings!$B$17*SQRT(2))),"")</f>
        <v/>
      </c>
      <c r="M130" s="30">
        <f>IF(L130="","",IF(ABS(L130)&gt;=1.96,"Yes","No"))</f>
        <v/>
      </c>
      <c r="N130" s="30">
        <f>IF(J130="","",IF(J130&gt;=Settings!$B$15,"Yes","No"))</f>
        <v/>
      </c>
      <c r="O130" s="37">
        <f>IFERROR(IF($D130="","",SUMIF('Pre-Test Entry'!$C$3:$AQ$3,Settings!$A$28,'Pre-Test Entry'!$C130:$AQ130)/Settings!$C$28),"")</f>
        <v/>
      </c>
      <c r="P130" s="37">
        <f>IFERROR(IF($D130="","",SUMIF('Pre-Test Entry'!$C$3:$AQ$3,Settings!$A$29,'Pre-Test Entry'!$C130:$AQ130)/Settings!$C$29),"")</f>
        <v/>
      </c>
      <c r="Q130" s="37">
        <f>IFERROR(IF($D130="","",SUMIF('Pre-Test Entry'!$C$3:$AQ$3,Settings!$A$30,'Pre-Test Entry'!$C130:$AQ130)/Settings!$C$30),"")</f>
        <v/>
      </c>
      <c r="R130" s="37">
        <f>IFERROR(IF($D130="","",SUMIF('Pre-Test Entry'!$C$3:$AQ$3,Settings!$A$31,'Pre-Test Entry'!$C130:$AQ130)/Settings!$C$31),"")</f>
        <v/>
      </c>
      <c r="S130" s="37">
        <f>IFERROR(IF($D130="","",SUMIF('Pre-Test Entry'!$C$3:$AQ$3,Settings!$A$32,'Pre-Test Entry'!$C130:$AQ130)/Settings!$C$32),"")</f>
        <v/>
      </c>
      <c r="T130" s="37">
        <f>IFERROR(IF($D130="","",SUMIF('Pre-Test Entry'!$C$3:$AQ$3,Settings!$A$33,'Pre-Test Entry'!$C130:$AQ130)/Settings!$C$33),"")</f>
        <v/>
      </c>
      <c r="U130" s="37">
        <f>IFERROR(IF($D130="","",SUMIF('Pre-Test Entry'!$C$3:$AQ$3,Settings!$A$34,'Pre-Test Entry'!$C130:$AQ130)/Settings!$C$34),"")</f>
        <v/>
      </c>
      <c r="V130" s="37">
        <f>IFERROR(IF($G130="","",SUMIF('Post-Test Entry'!$C$3:$AQ$3,Settings!$A$28,'Post-Test Entry'!$C130:$AQ130)/Settings!$C$28),"")</f>
        <v/>
      </c>
      <c r="W130" s="37">
        <f>IFERROR(IF($G130="","",SUMIF('Post-Test Entry'!$C$3:$AQ$3,Settings!$A$29,'Post-Test Entry'!$C130:$AQ130)/Settings!$C$29),"")</f>
        <v/>
      </c>
      <c r="X130" s="37">
        <f>IFERROR(IF($G130="","",SUMIF('Post-Test Entry'!$C$3:$AQ$3,Settings!$A$30,'Post-Test Entry'!$C130:$AQ130)/Settings!$C$30),"")</f>
        <v/>
      </c>
      <c r="Y130" s="37">
        <f>IFERROR(IF($G130="","",SUMIF('Post-Test Entry'!$C$3:$AQ$3,Settings!$A$31,'Post-Test Entry'!$C130:$AQ130)/Settings!$C$31),"")</f>
        <v/>
      </c>
      <c r="Z130" s="37">
        <f>IFERROR(IF($G130="","",SUMIF('Post-Test Entry'!$C$3:$AQ$3,Settings!$A$32,'Post-Test Entry'!$C130:$AQ130)/Settings!$C$32),"")</f>
        <v/>
      </c>
      <c r="AA130" s="37">
        <f>IFERROR(IF($G130="","",SUMIF('Post-Test Entry'!$C$3:$AQ$3,Settings!$A$33,'Post-Test Entry'!$C130:$AQ130)/Settings!$C$33),"")</f>
        <v/>
      </c>
      <c r="AB130" s="37">
        <f>IFERROR(IF($G130="","",SUMIF('Post-Test Entry'!$C$3:$AQ$3,Settings!$A$34,'Post-Test Entry'!$C130:$AQ130)/Settings!$C$34),"")</f>
        <v/>
      </c>
      <c r="AC130" s="37">
        <f>IF(OR(O130="",V130=""),"",V130-O130)</f>
        <v/>
      </c>
      <c r="AD130" s="37">
        <f>IF(OR(P130="",W130=""),"",W130-P130)</f>
        <v/>
      </c>
      <c r="AE130" s="37">
        <f>IF(OR(Q130="",X130=""),"",X130-Q130)</f>
        <v/>
      </c>
      <c r="AF130" s="37">
        <f>IF(OR(R130="",Y130=""),"",Y130-R130)</f>
        <v/>
      </c>
      <c r="AG130" s="37">
        <f>IF(OR(S130="",Z130=""),"",Z130-S130)</f>
        <v/>
      </c>
      <c r="AH130" s="37">
        <f>IF(OR(T130="",AA130=""),"",AA130-T130)</f>
        <v/>
      </c>
      <c r="AI130" s="37">
        <f>IF(OR(U130="",AB130=""),"",AB130-U130)</f>
        <v/>
      </c>
      <c r="AJ130" s="30">
        <f>IFERROR(IF($G130&lt;&gt;"",INDEX($V$4:$AB$4,MATCH(MIN($V130:$AB130),$V130:$AB130,0)),IF($D130&lt;&gt;"",INDEX($O$4:$U$4,MATCH(MIN($O130:$U130),$O130:$U130,0)),"")),"")</f>
        <v/>
      </c>
      <c r="AK130" s="30">
        <f>IFERROR(IF($G130&lt;&gt;"",INDEX($V$4:$AB$4,MATCH(SMALL($V130:$AB130,2),$V130:$AB130,0)),IF($D130&lt;&gt;"",INDEX($O$4:$U$4,MATCH(SMALL($O130:$U130,2),$O130:$U130,0)),"")),"")</f>
        <v/>
      </c>
      <c r="AL130" s="30">
        <f>IF(OR(G130="",Settings!$B$17=""),"",IF(OR(ABS(G130-Settings!$B$5)&lt;=Settings!$B$17,ABS(G130-Settings!$B$6)&lt;=Settings!$B$17,ABS(G130-Settings!$B$7)&lt;=Settings!$B$17),"NEAR CUT",""))</f>
        <v/>
      </c>
      <c r="AM130" s="31">
        <f>IF('Post-Test Entry'!$AR130&lt;&gt;"","Post essay: code "&amp;'Post-Test Entry'!$AR130,IF('Pre-Test Entry'!$AR130&lt;&gt;"","Pre essay: code "&amp;'Pre-Test Entry'!$AR130,""))</f>
        <v/>
      </c>
      <c r="AN130" s="39">
        <f>IFERROR(IF($AJ130="","",INDEX(Settings!$D$28:$D$34,MATCH($AJ130,Settings!$A$28:$A$34,0))),"")</f>
        <v/>
      </c>
      <c r="AP130">
        <f>IF(D130="","",D130^2)</f>
        <v/>
      </c>
      <c r="AQ130">
        <f>IF(G130="","",G130^2)</f>
        <v/>
      </c>
    </row>
    <row r="131">
      <c r="A131" s="30">
        <f>IF(Roster!$A131="","",Roster!$A131)</f>
        <v/>
      </c>
      <c r="B131" s="31">
        <f>IF(Roster!$B131&lt;&gt;"",Roster!$C131&amp;" "&amp;Roster!$B131,"")</f>
        <v/>
      </c>
      <c r="C131" s="30">
        <f>IF(Roster!$B131&lt;&gt;"",Roster!$D131,"")</f>
        <v/>
      </c>
      <c r="D131" s="16">
        <f>IF(AND(Roster!$B131&lt;&gt;"",COUNT('Pre-Test Entry'!$C131:$AQ131)&gt;0),'Pre-Test Entry'!$AS131,"")</f>
        <v/>
      </c>
      <c r="E131" s="37">
        <f>IFERROR(D131/Settings!$B$8,"")</f>
        <v/>
      </c>
      <c r="F131" s="31">
        <f>IF(D131="","",IF(D131&gt;=Settings!$B$7,"Distinguished Learner",IF(D131&gt;=Settings!$B$6,"Proficient Learner",IF(D131&gt;=Settings!$B$5,"Developing Learner","Beginning Learner"))))</f>
        <v/>
      </c>
      <c r="G131" s="16">
        <f>IF(AND(Roster!$B131&lt;&gt;"",COUNT('Post-Test Entry'!$C131:$AQ131)&gt;0),'Post-Test Entry'!$AS131,"")</f>
        <v/>
      </c>
      <c r="H131" s="37">
        <f>IFERROR(G131/Settings!$B$8,"")</f>
        <v/>
      </c>
      <c r="I131" s="31">
        <f>IF(G131="","",IF(G131&gt;=Settings!$B$7,"Distinguished Learner",IF(G131&gt;=Settings!$B$6,"Proficient Learner",IF(G131&gt;=Settings!$B$5,"Developing Learner","Beginning Learner"))))</f>
        <v/>
      </c>
      <c r="J131" s="16">
        <f>IF(OR(D131="",G131=""),"",G131-D131)</f>
        <v/>
      </c>
      <c r="K131" s="37">
        <f>IFERROR(IF(OR(J131="",J131&lt;=0),"",(G131-D131)/(Settings!$B$8-D131)),"")</f>
        <v/>
      </c>
      <c r="L131" s="38">
        <f>IFERROR(IF(J131="","",(G131-D131)/(Settings!$B$17*SQRT(2))),"")</f>
        <v/>
      </c>
      <c r="M131" s="30">
        <f>IF(L131="","",IF(ABS(L131)&gt;=1.96,"Yes","No"))</f>
        <v/>
      </c>
      <c r="N131" s="30">
        <f>IF(J131="","",IF(J131&gt;=Settings!$B$15,"Yes","No"))</f>
        <v/>
      </c>
      <c r="O131" s="37">
        <f>IFERROR(IF($D131="","",SUMIF('Pre-Test Entry'!$C$3:$AQ$3,Settings!$A$28,'Pre-Test Entry'!$C131:$AQ131)/Settings!$C$28),"")</f>
        <v/>
      </c>
      <c r="P131" s="37">
        <f>IFERROR(IF($D131="","",SUMIF('Pre-Test Entry'!$C$3:$AQ$3,Settings!$A$29,'Pre-Test Entry'!$C131:$AQ131)/Settings!$C$29),"")</f>
        <v/>
      </c>
      <c r="Q131" s="37">
        <f>IFERROR(IF($D131="","",SUMIF('Pre-Test Entry'!$C$3:$AQ$3,Settings!$A$30,'Pre-Test Entry'!$C131:$AQ131)/Settings!$C$30),"")</f>
        <v/>
      </c>
      <c r="R131" s="37">
        <f>IFERROR(IF($D131="","",SUMIF('Pre-Test Entry'!$C$3:$AQ$3,Settings!$A$31,'Pre-Test Entry'!$C131:$AQ131)/Settings!$C$31),"")</f>
        <v/>
      </c>
      <c r="S131" s="37">
        <f>IFERROR(IF($D131="","",SUMIF('Pre-Test Entry'!$C$3:$AQ$3,Settings!$A$32,'Pre-Test Entry'!$C131:$AQ131)/Settings!$C$32),"")</f>
        <v/>
      </c>
      <c r="T131" s="37">
        <f>IFERROR(IF($D131="","",SUMIF('Pre-Test Entry'!$C$3:$AQ$3,Settings!$A$33,'Pre-Test Entry'!$C131:$AQ131)/Settings!$C$33),"")</f>
        <v/>
      </c>
      <c r="U131" s="37">
        <f>IFERROR(IF($D131="","",SUMIF('Pre-Test Entry'!$C$3:$AQ$3,Settings!$A$34,'Pre-Test Entry'!$C131:$AQ131)/Settings!$C$34),"")</f>
        <v/>
      </c>
      <c r="V131" s="37">
        <f>IFERROR(IF($G131="","",SUMIF('Post-Test Entry'!$C$3:$AQ$3,Settings!$A$28,'Post-Test Entry'!$C131:$AQ131)/Settings!$C$28),"")</f>
        <v/>
      </c>
      <c r="W131" s="37">
        <f>IFERROR(IF($G131="","",SUMIF('Post-Test Entry'!$C$3:$AQ$3,Settings!$A$29,'Post-Test Entry'!$C131:$AQ131)/Settings!$C$29),"")</f>
        <v/>
      </c>
      <c r="X131" s="37">
        <f>IFERROR(IF($G131="","",SUMIF('Post-Test Entry'!$C$3:$AQ$3,Settings!$A$30,'Post-Test Entry'!$C131:$AQ131)/Settings!$C$30),"")</f>
        <v/>
      </c>
      <c r="Y131" s="37">
        <f>IFERROR(IF($G131="","",SUMIF('Post-Test Entry'!$C$3:$AQ$3,Settings!$A$31,'Post-Test Entry'!$C131:$AQ131)/Settings!$C$31),"")</f>
        <v/>
      </c>
      <c r="Z131" s="37">
        <f>IFERROR(IF($G131="","",SUMIF('Post-Test Entry'!$C$3:$AQ$3,Settings!$A$32,'Post-Test Entry'!$C131:$AQ131)/Settings!$C$32),"")</f>
        <v/>
      </c>
      <c r="AA131" s="37">
        <f>IFERROR(IF($G131="","",SUMIF('Post-Test Entry'!$C$3:$AQ$3,Settings!$A$33,'Post-Test Entry'!$C131:$AQ131)/Settings!$C$33),"")</f>
        <v/>
      </c>
      <c r="AB131" s="37">
        <f>IFERROR(IF($G131="","",SUMIF('Post-Test Entry'!$C$3:$AQ$3,Settings!$A$34,'Post-Test Entry'!$C131:$AQ131)/Settings!$C$34),"")</f>
        <v/>
      </c>
      <c r="AC131" s="37">
        <f>IF(OR(O131="",V131=""),"",V131-O131)</f>
        <v/>
      </c>
      <c r="AD131" s="37">
        <f>IF(OR(P131="",W131=""),"",W131-P131)</f>
        <v/>
      </c>
      <c r="AE131" s="37">
        <f>IF(OR(Q131="",X131=""),"",X131-Q131)</f>
        <v/>
      </c>
      <c r="AF131" s="37">
        <f>IF(OR(R131="",Y131=""),"",Y131-R131)</f>
        <v/>
      </c>
      <c r="AG131" s="37">
        <f>IF(OR(S131="",Z131=""),"",Z131-S131)</f>
        <v/>
      </c>
      <c r="AH131" s="37">
        <f>IF(OR(T131="",AA131=""),"",AA131-T131)</f>
        <v/>
      </c>
      <c r="AI131" s="37">
        <f>IF(OR(U131="",AB131=""),"",AB131-U131)</f>
        <v/>
      </c>
      <c r="AJ131" s="30">
        <f>IFERROR(IF($G131&lt;&gt;"",INDEX($V$4:$AB$4,MATCH(MIN($V131:$AB131),$V131:$AB131,0)),IF($D131&lt;&gt;"",INDEX($O$4:$U$4,MATCH(MIN($O131:$U131),$O131:$U131,0)),"")),"")</f>
        <v/>
      </c>
      <c r="AK131" s="30">
        <f>IFERROR(IF($G131&lt;&gt;"",INDEX($V$4:$AB$4,MATCH(SMALL($V131:$AB131,2),$V131:$AB131,0)),IF($D131&lt;&gt;"",INDEX($O$4:$U$4,MATCH(SMALL($O131:$U131,2),$O131:$U131,0)),"")),"")</f>
        <v/>
      </c>
      <c r="AL131" s="30">
        <f>IF(OR(G131="",Settings!$B$17=""),"",IF(OR(ABS(G131-Settings!$B$5)&lt;=Settings!$B$17,ABS(G131-Settings!$B$6)&lt;=Settings!$B$17,ABS(G131-Settings!$B$7)&lt;=Settings!$B$17),"NEAR CUT",""))</f>
        <v/>
      </c>
      <c r="AM131" s="31">
        <f>IF('Post-Test Entry'!$AR131&lt;&gt;"","Post essay: code "&amp;'Post-Test Entry'!$AR131,IF('Pre-Test Entry'!$AR131&lt;&gt;"","Pre essay: code "&amp;'Pre-Test Entry'!$AR131,""))</f>
        <v/>
      </c>
      <c r="AN131" s="39">
        <f>IFERROR(IF($AJ131="","",INDEX(Settings!$D$28:$D$34,MATCH($AJ131,Settings!$A$28:$A$34,0))),"")</f>
        <v/>
      </c>
      <c r="AP131">
        <f>IF(D131="","",D131^2)</f>
        <v/>
      </c>
      <c r="AQ131">
        <f>IF(G131="","",G131^2)</f>
        <v/>
      </c>
    </row>
    <row r="132">
      <c r="A132" s="30">
        <f>IF(Roster!$A132="","",Roster!$A132)</f>
        <v/>
      </c>
      <c r="B132" s="31">
        <f>IF(Roster!$B132&lt;&gt;"",Roster!$C132&amp;" "&amp;Roster!$B132,"")</f>
        <v/>
      </c>
      <c r="C132" s="30">
        <f>IF(Roster!$B132&lt;&gt;"",Roster!$D132,"")</f>
        <v/>
      </c>
      <c r="D132" s="16">
        <f>IF(AND(Roster!$B132&lt;&gt;"",COUNT('Pre-Test Entry'!$C132:$AQ132)&gt;0),'Pre-Test Entry'!$AS132,"")</f>
        <v/>
      </c>
      <c r="E132" s="37">
        <f>IFERROR(D132/Settings!$B$8,"")</f>
        <v/>
      </c>
      <c r="F132" s="31">
        <f>IF(D132="","",IF(D132&gt;=Settings!$B$7,"Distinguished Learner",IF(D132&gt;=Settings!$B$6,"Proficient Learner",IF(D132&gt;=Settings!$B$5,"Developing Learner","Beginning Learner"))))</f>
        <v/>
      </c>
      <c r="G132" s="16">
        <f>IF(AND(Roster!$B132&lt;&gt;"",COUNT('Post-Test Entry'!$C132:$AQ132)&gt;0),'Post-Test Entry'!$AS132,"")</f>
        <v/>
      </c>
      <c r="H132" s="37">
        <f>IFERROR(G132/Settings!$B$8,"")</f>
        <v/>
      </c>
      <c r="I132" s="31">
        <f>IF(G132="","",IF(G132&gt;=Settings!$B$7,"Distinguished Learner",IF(G132&gt;=Settings!$B$6,"Proficient Learner",IF(G132&gt;=Settings!$B$5,"Developing Learner","Beginning Learner"))))</f>
        <v/>
      </c>
      <c r="J132" s="16">
        <f>IF(OR(D132="",G132=""),"",G132-D132)</f>
        <v/>
      </c>
      <c r="K132" s="37">
        <f>IFERROR(IF(OR(J132="",J132&lt;=0),"",(G132-D132)/(Settings!$B$8-D132)),"")</f>
        <v/>
      </c>
      <c r="L132" s="38">
        <f>IFERROR(IF(J132="","",(G132-D132)/(Settings!$B$17*SQRT(2))),"")</f>
        <v/>
      </c>
      <c r="M132" s="30">
        <f>IF(L132="","",IF(ABS(L132)&gt;=1.96,"Yes","No"))</f>
        <v/>
      </c>
      <c r="N132" s="30">
        <f>IF(J132="","",IF(J132&gt;=Settings!$B$15,"Yes","No"))</f>
        <v/>
      </c>
      <c r="O132" s="37">
        <f>IFERROR(IF($D132="","",SUMIF('Pre-Test Entry'!$C$3:$AQ$3,Settings!$A$28,'Pre-Test Entry'!$C132:$AQ132)/Settings!$C$28),"")</f>
        <v/>
      </c>
      <c r="P132" s="37">
        <f>IFERROR(IF($D132="","",SUMIF('Pre-Test Entry'!$C$3:$AQ$3,Settings!$A$29,'Pre-Test Entry'!$C132:$AQ132)/Settings!$C$29),"")</f>
        <v/>
      </c>
      <c r="Q132" s="37">
        <f>IFERROR(IF($D132="","",SUMIF('Pre-Test Entry'!$C$3:$AQ$3,Settings!$A$30,'Pre-Test Entry'!$C132:$AQ132)/Settings!$C$30),"")</f>
        <v/>
      </c>
      <c r="R132" s="37">
        <f>IFERROR(IF($D132="","",SUMIF('Pre-Test Entry'!$C$3:$AQ$3,Settings!$A$31,'Pre-Test Entry'!$C132:$AQ132)/Settings!$C$31),"")</f>
        <v/>
      </c>
      <c r="S132" s="37">
        <f>IFERROR(IF($D132="","",SUMIF('Pre-Test Entry'!$C$3:$AQ$3,Settings!$A$32,'Pre-Test Entry'!$C132:$AQ132)/Settings!$C$32),"")</f>
        <v/>
      </c>
      <c r="T132" s="37">
        <f>IFERROR(IF($D132="","",SUMIF('Pre-Test Entry'!$C$3:$AQ$3,Settings!$A$33,'Pre-Test Entry'!$C132:$AQ132)/Settings!$C$33),"")</f>
        <v/>
      </c>
      <c r="U132" s="37">
        <f>IFERROR(IF($D132="","",SUMIF('Pre-Test Entry'!$C$3:$AQ$3,Settings!$A$34,'Pre-Test Entry'!$C132:$AQ132)/Settings!$C$34),"")</f>
        <v/>
      </c>
      <c r="V132" s="37">
        <f>IFERROR(IF($G132="","",SUMIF('Post-Test Entry'!$C$3:$AQ$3,Settings!$A$28,'Post-Test Entry'!$C132:$AQ132)/Settings!$C$28),"")</f>
        <v/>
      </c>
      <c r="W132" s="37">
        <f>IFERROR(IF($G132="","",SUMIF('Post-Test Entry'!$C$3:$AQ$3,Settings!$A$29,'Post-Test Entry'!$C132:$AQ132)/Settings!$C$29),"")</f>
        <v/>
      </c>
      <c r="X132" s="37">
        <f>IFERROR(IF($G132="","",SUMIF('Post-Test Entry'!$C$3:$AQ$3,Settings!$A$30,'Post-Test Entry'!$C132:$AQ132)/Settings!$C$30),"")</f>
        <v/>
      </c>
      <c r="Y132" s="37">
        <f>IFERROR(IF($G132="","",SUMIF('Post-Test Entry'!$C$3:$AQ$3,Settings!$A$31,'Post-Test Entry'!$C132:$AQ132)/Settings!$C$31),"")</f>
        <v/>
      </c>
      <c r="Z132" s="37">
        <f>IFERROR(IF($G132="","",SUMIF('Post-Test Entry'!$C$3:$AQ$3,Settings!$A$32,'Post-Test Entry'!$C132:$AQ132)/Settings!$C$32),"")</f>
        <v/>
      </c>
      <c r="AA132" s="37">
        <f>IFERROR(IF($G132="","",SUMIF('Post-Test Entry'!$C$3:$AQ$3,Settings!$A$33,'Post-Test Entry'!$C132:$AQ132)/Settings!$C$33),"")</f>
        <v/>
      </c>
      <c r="AB132" s="37">
        <f>IFERROR(IF($G132="","",SUMIF('Post-Test Entry'!$C$3:$AQ$3,Settings!$A$34,'Post-Test Entry'!$C132:$AQ132)/Settings!$C$34),"")</f>
        <v/>
      </c>
      <c r="AC132" s="37">
        <f>IF(OR(O132="",V132=""),"",V132-O132)</f>
        <v/>
      </c>
      <c r="AD132" s="37">
        <f>IF(OR(P132="",W132=""),"",W132-P132)</f>
        <v/>
      </c>
      <c r="AE132" s="37">
        <f>IF(OR(Q132="",X132=""),"",X132-Q132)</f>
        <v/>
      </c>
      <c r="AF132" s="37">
        <f>IF(OR(R132="",Y132=""),"",Y132-R132)</f>
        <v/>
      </c>
      <c r="AG132" s="37">
        <f>IF(OR(S132="",Z132=""),"",Z132-S132)</f>
        <v/>
      </c>
      <c r="AH132" s="37">
        <f>IF(OR(T132="",AA132=""),"",AA132-T132)</f>
        <v/>
      </c>
      <c r="AI132" s="37">
        <f>IF(OR(U132="",AB132=""),"",AB132-U132)</f>
        <v/>
      </c>
      <c r="AJ132" s="30">
        <f>IFERROR(IF($G132&lt;&gt;"",INDEX($V$4:$AB$4,MATCH(MIN($V132:$AB132),$V132:$AB132,0)),IF($D132&lt;&gt;"",INDEX($O$4:$U$4,MATCH(MIN($O132:$U132),$O132:$U132,0)),"")),"")</f>
        <v/>
      </c>
      <c r="AK132" s="30">
        <f>IFERROR(IF($G132&lt;&gt;"",INDEX($V$4:$AB$4,MATCH(SMALL($V132:$AB132,2),$V132:$AB132,0)),IF($D132&lt;&gt;"",INDEX($O$4:$U$4,MATCH(SMALL($O132:$U132,2),$O132:$U132,0)),"")),"")</f>
        <v/>
      </c>
      <c r="AL132" s="30">
        <f>IF(OR(G132="",Settings!$B$17=""),"",IF(OR(ABS(G132-Settings!$B$5)&lt;=Settings!$B$17,ABS(G132-Settings!$B$6)&lt;=Settings!$B$17,ABS(G132-Settings!$B$7)&lt;=Settings!$B$17),"NEAR CUT",""))</f>
        <v/>
      </c>
      <c r="AM132" s="31">
        <f>IF('Post-Test Entry'!$AR132&lt;&gt;"","Post essay: code "&amp;'Post-Test Entry'!$AR132,IF('Pre-Test Entry'!$AR132&lt;&gt;"","Pre essay: code "&amp;'Pre-Test Entry'!$AR132,""))</f>
        <v/>
      </c>
      <c r="AN132" s="39">
        <f>IFERROR(IF($AJ132="","",INDEX(Settings!$D$28:$D$34,MATCH($AJ132,Settings!$A$28:$A$34,0))),"")</f>
        <v/>
      </c>
      <c r="AP132">
        <f>IF(D132="","",D132^2)</f>
        <v/>
      </c>
      <c r="AQ132">
        <f>IF(G132="","",G132^2)</f>
        <v/>
      </c>
    </row>
    <row r="133">
      <c r="A133" s="30">
        <f>IF(Roster!$A133="","",Roster!$A133)</f>
        <v/>
      </c>
      <c r="B133" s="31">
        <f>IF(Roster!$B133&lt;&gt;"",Roster!$C133&amp;" "&amp;Roster!$B133,"")</f>
        <v/>
      </c>
      <c r="C133" s="30">
        <f>IF(Roster!$B133&lt;&gt;"",Roster!$D133,"")</f>
        <v/>
      </c>
      <c r="D133" s="16">
        <f>IF(AND(Roster!$B133&lt;&gt;"",COUNT('Pre-Test Entry'!$C133:$AQ133)&gt;0),'Pre-Test Entry'!$AS133,"")</f>
        <v/>
      </c>
      <c r="E133" s="37">
        <f>IFERROR(D133/Settings!$B$8,"")</f>
        <v/>
      </c>
      <c r="F133" s="31">
        <f>IF(D133="","",IF(D133&gt;=Settings!$B$7,"Distinguished Learner",IF(D133&gt;=Settings!$B$6,"Proficient Learner",IF(D133&gt;=Settings!$B$5,"Developing Learner","Beginning Learner"))))</f>
        <v/>
      </c>
      <c r="G133" s="16">
        <f>IF(AND(Roster!$B133&lt;&gt;"",COUNT('Post-Test Entry'!$C133:$AQ133)&gt;0),'Post-Test Entry'!$AS133,"")</f>
        <v/>
      </c>
      <c r="H133" s="37">
        <f>IFERROR(G133/Settings!$B$8,"")</f>
        <v/>
      </c>
      <c r="I133" s="31">
        <f>IF(G133="","",IF(G133&gt;=Settings!$B$7,"Distinguished Learner",IF(G133&gt;=Settings!$B$6,"Proficient Learner",IF(G133&gt;=Settings!$B$5,"Developing Learner","Beginning Learner"))))</f>
        <v/>
      </c>
      <c r="J133" s="16">
        <f>IF(OR(D133="",G133=""),"",G133-D133)</f>
        <v/>
      </c>
      <c r="K133" s="37">
        <f>IFERROR(IF(OR(J133="",J133&lt;=0),"",(G133-D133)/(Settings!$B$8-D133)),"")</f>
        <v/>
      </c>
      <c r="L133" s="38">
        <f>IFERROR(IF(J133="","",(G133-D133)/(Settings!$B$17*SQRT(2))),"")</f>
        <v/>
      </c>
      <c r="M133" s="30">
        <f>IF(L133="","",IF(ABS(L133)&gt;=1.96,"Yes","No"))</f>
        <v/>
      </c>
      <c r="N133" s="30">
        <f>IF(J133="","",IF(J133&gt;=Settings!$B$15,"Yes","No"))</f>
        <v/>
      </c>
      <c r="O133" s="37">
        <f>IFERROR(IF($D133="","",SUMIF('Pre-Test Entry'!$C$3:$AQ$3,Settings!$A$28,'Pre-Test Entry'!$C133:$AQ133)/Settings!$C$28),"")</f>
        <v/>
      </c>
      <c r="P133" s="37">
        <f>IFERROR(IF($D133="","",SUMIF('Pre-Test Entry'!$C$3:$AQ$3,Settings!$A$29,'Pre-Test Entry'!$C133:$AQ133)/Settings!$C$29),"")</f>
        <v/>
      </c>
      <c r="Q133" s="37">
        <f>IFERROR(IF($D133="","",SUMIF('Pre-Test Entry'!$C$3:$AQ$3,Settings!$A$30,'Pre-Test Entry'!$C133:$AQ133)/Settings!$C$30),"")</f>
        <v/>
      </c>
      <c r="R133" s="37">
        <f>IFERROR(IF($D133="","",SUMIF('Pre-Test Entry'!$C$3:$AQ$3,Settings!$A$31,'Pre-Test Entry'!$C133:$AQ133)/Settings!$C$31),"")</f>
        <v/>
      </c>
      <c r="S133" s="37">
        <f>IFERROR(IF($D133="","",SUMIF('Pre-Test Entry'!$C$3:$AQ$3,Settings!$A$32,'Pre-Test Entry'!$C133:$AQ133)/Settings!$C$32),"")</f>
        <v/>
      </c>
      <c r="T133" s="37">
        <f>IFERROR(IF($D133="","",SUMIF('Pre-Test Entry'!$C$3:$AQ$3,Settings!$A$33,'Pre-Test Entry'!$C133:$AQ133)/Settings!$C$33),"")</f>
        <v/>
      </c>
      <c r="U133" s="37">
        <f>IFERROR(IF($D133="","",SUMIF('Pre-Test Entry'!$C$3:$AQ$3,Settings!$A$34,'Pre-Test Entry'!$C133:$AQ133)/Settings!$C$34),"")</f>
        <v/>
      </c>
      <c r="V133" s="37">
        <f>IFERROR(IF($G133="","",SUMIF('Post-Test Entry'!$C$3:$AQ$3,Settings!$A$28,'Post-Test Entry'!$C133:$AQ133)/Settings!$C$28),"")</f>
        <v/>
      </c>
      <c r="W133" s="37">
        <f>IFERROR(IF($G133="","",SUMIF('Post-Test Entry'!$C$3:$AQ$3,Settings!$A$29,'Post-Test Entry'!$C133:$AQ133)/Settings!$C$29),"")</f>
        <v/>
      </c>
      <c r="X133" s="37">
        <f>IFERROR(IF($G133="","",SUMIF('Post-Test Entry'!$C$3:$AQ$3,Settings!$A$30,'Post-Test Entry'!$C133:$AQ133)/Settings!$C$30),"")</f>
        <v/>
      </c>
      <c r="Y133" s="37">
        <f>IFERROR(IF($G133="","",SUMIF('Post-Test Entry'!$C$3:$AQ$3,Settings!$A$31,'Post-Test Entry'!$C133:$AQ133)/Settings!$C$31),"")</f>
        <v/>
      </c>
      <c r="Z133" s="37">
        <f>IFERROR(IF($G133="","",SUMIF('Post-Test Entry'!$C$3:$AQ$3,Settings!$A$32,'Post-Test Entry'!$C133:$AQ133)/Settings!$C$32),"")</f>
        <v/>
      </c>
      <c r="AA133" s="37">
        <f>IFERROR(IF($G133="","",SUMIF('Post-Test Entry'!$C$3:$AQ$3,Settings!$A$33,'Post-Test Entry'!$C133:$AQ133)/Settings!$C$33),"")</f>
        <v/>
      </c>
      <c r="AB133" s="37">
        <f>IFERROR(IF($G133="","",SUMIF('Post-Test Entry'!$C$3:$AQ$3,Settings!$A$34,'Post-Test Entry'!$C133:$AQ133)/Settings!$C$34),"")</f>
        <v/>
      </c>
      <c r="AC133" s="37">
        <f>IF(OR(O133="",V133=""),"",V133-O133)</f>
        <v/>
      </c>
      <c r="AD133" s="37">
        <f>IF(OR(P133="",W133=""),"",W133-P133)</f>
        <v/>
      </c>
      <c r="AE133" s="37">
        <f>IF(OR(Q133="",X133=""),"",X133-Q133)</f>
        <v/>
      </c>
      <c r="AF133" s="37">
        <f>IF(OR(R133="",Y133=""),"",Y133-R133)</f>
        <v/>
      </c>
      <c r="AG133" s="37">
        <f>IF(OR(S133="",Z133=""),"",Z133-S133)</f>
        <v/>
      </c>
      <c r="AH133" s="37">
        <f>IF(OR(T133="",AA133=""),"",AA133-T133)</f>
        <v/>
      </c>
      <c r="AI133" s="37">
        <f>IF(OR(U133="",AB133=""),"",AB133-U133)</f>
        <v/>
      </c>
      <c r="AJ133" s="30">
        <f>IFERROR(IF($G133&lt;&gt;"",INDEX($V$4:$AB$4,MATCH(MIN($V133:$AB133),$V133:$AB133,0)),IF($D133&lt;&gt;"",INDEX($O$4:$U$4,MATCH(MIN($O133:$U133),$O133:$U133,0)),"")),"")</f>
        <v/>
      </c>
      <c r="AK133" s="30">
        <f>IFERROR(IF($G133&lt;&gt;"",INDEX($V$4:$AB$4,MATCH(SMALL($V133:$AB133,2),$V133:$AB133,0)),IF($D133&lt;&gt;"",INDEX($O$4:$U$4,MATCH(SMALL($O133:$U133,2),$O133:$U133,0)),"")),"")</f>
        <v/>
      </c>
      <c r="AL133" s="30">
        <f>IF(OR(G133="",Settings!$B$17=""),"",IF(OR(ABS(G133-Settings!$B$5)&lt;=Settings!$B$17,ABS(G133-Settings!$B$6)&lt;=Settings!$B$17,ABS(G133-Settings!$B$7)&lt;=Settings!$B$17),"NEAR CUT",""))</f>
        <v/>
      </c>
      <c r="AM133" s="31">
        <f>IF('Post-Test Entry'!$AR133&lt;&gt;"","Post essay: code "&amp;'Post-Test Entry'!$AR133,IF('Pre-Test Entry'!$AR133&lt;&gt;"","Pre essay: code "&amp;'Pre-Test Entry'!$AR133,""))</f>
        <v/>
      </c>
      <c r="AN133" s="39">
        <f>IFERROR(IF($AJ133="","",INDEX(Settings!$D$28:$D$34,MATCH($AJ133,Settings!$A$28:$A$34,0))),"")</f>
        <v/>
      </c>
      <c r="AP133">
        <f>IF(D133="","",D133^2)</f>
        <v/>
      </c>
      <c r="AQ133">
        <f>IF(G133="","",G133^2)</f>
        <v/>
      </c>
    </row>
    <row r="134">
      <c r="A134" s="30">
        <f>IF(Roster!$A134="","",Roster!$A134)</f>
        <v/>
      </c>
      <c r="B134" s="31">
        <f>IF(Roster!$B134&lt;&gt;"",Roster!$C134&amp;" "&amp;Roster!$B134,"")</f>
        <v/>
      </c>
      <c r="C134" s="30">
        <f>IF(Roster!$B134&lt;&gt;"",Roster!$D134,"")</f>
        <v/>
      </c>
      <c r="D134" s="16">
        <f>IF(AND(Roster!$B134&lt;&gt;"",COUNT('Pre-Test Entry'!$C134:$AQ134)&gt;0),'Pre-Test Entry'!$AS134,"")</f>
        <v/>
      </c>
      <c r="E134" s="37">
        <f>IFERROR(D134/Settings!$B$8,"")</f>
        <v/>
      </c>
      <c r="F134" s="31">
        <f>IF(D134="","",IF(D134&gt;=Settings!$B$7,"Distinguished Learner",IF(D134&gt;=Settings!$B$6,"Proficient Learner",IF(D134&gt;=Settings!$B$5,"Developing Learner","Beginning Learner"))))</f>
        <v/>
      </c>
      <c r="G134" s="16">
        <f>IF(AND(Roster!$B134&lt;&gt;"",COUNT('Post-Test Entry'!$C134:$AQ134)&gt;0),'Post-Test Entry'!$AS134,"")</f>
        <v/>
      </c>
      <c r="H134" s="37">
        <f>IFERROR(G134/Settings!$B$8,"")</f>
        <v/>
      </c>
      <c r="I134" s="31">
        <f>IF(G134="","",IF(G134&gt;=Settings!$B$7,"Distinguished Learner",IF(G134&gt;=Settings!$B$6,"Proficient Learner",IF(G134&gt;=Settings!$B$5,"Developing Learner","Beginning Learner"))))</f>
        <v/>
      </c>
      <c r="J134" s="16">
        <f>IF(OR(D134="",G134=""),"",G134-D134)</f>
        <v/>
      </c>
      <c r="K134" s="37">
        <f>IFERROR(IF(OR(J134="",J134&lt;=0),"",(G134-D134)/(Settings!$B$8-D134)),"")</f>
        <v/>
      </c>
      <c r="L134" s="38">
        <f>IFERROR(IF(J134="","",(G134-D134)/(Settings!$B$17*SQRT(2))),"")</f>
        <v/>
      </c>
      <c r="M134" s="30">
        <f>IF(L134="","",IF(ABS(L134)&gt;=1.96,"Yes","No"))</f>
        <v/>
      </c>
      <c r="N134" s="30">
        <f>IF(J134="","",IF(J134&gt;=Settings!$B$15,"Yes","No"))</f>
        <v/>
      </c>
      <c r="O134" s="37">
        <f>IFERROR(IF($D134="","",SUMIF('Pre-Test Entry'!$C$3:$AQ$3,Settings!$A$28,'Pre-Test Entry'!$C134:$AQ134)/Settings!$C$28),"")</f>
        <v/>
      </c>
      <c r="P134" s="37">
        <f>IFERROR(IF($D134="","",SUMIF('Pre-Test Entry'!$C$3:$AQ$3,Settings!$A$29,'Pre-Test Entry'!$C134:$AQ134)/Settings!$C$29),"")</f>
        <v/>
      </c>
      <c r="Q134" s="37">
        <f>IFERROR(IF($D134="","",SUMIF('Pre-Test Entry'!$C$3:$AQ$3,Settings!$A$30,'Pre-Test Entry'!$C134:$AQ134)/Settings!$C$30),"")</f>
        <v/>
      </c>
      <c r="R134" s="37">
        <f>IFERROR(IF($D134="","",SUMIF('Pre-Test Entry'!$C$3:$AQ$3,Settings!$A$31,'Pre-Test Entry'!$C134:$AQ134)/Settings!$C$31),"")</f>
        <v/>
      </c>
      <c r="S134" s="37">
        <f>IFERROR(IF($D134="","",SUMIF('Pre-Test Entry'!$C$3:$AQ$3,Settings!$A$32,'Pre-Test Entry'!$C134:$AQ134)/Settings!$C$32),"")</f>
        <v/>
      </c>
      <c r="T134" s="37">
        <f>IFERROR(IF($D134="","",SUMIF('Pre-Test Entry'!$C$3:$AQ$3,Settings!$A$33,'Pre-Test Entry'!$C134:$AQ134)/Settings!$C$33),"")</f>
        <v/>
      </c>
      <c r="U134" s="37">
        <f>IFERROR(IF($D134="","",SUMIF('Pre-Test Entry'!$C$3:$AQ$3,Settings!$A$34,'Pre-Test Entry'!$C134:$AQ134)/Settings!$C$34),"")</f>
        <v/>
      </c>
      <c r="V134" s="37">
        <f>IFERROR(IF($G134="","",SUMIF('Post-Test Entry'!$C$3:$AQ$3,Settings!$A$28,'Post-Test Entry'!$C134:$AQ134)/Settings!$C$28),"")</f>
        <v/>
      </c>
      <c r="W134" s="37">
        <f>IFERROR(IF($G134="","",SUMIF('Post-Test Entry'!$C$3:$AQ$3,Settings!$A$29,'Post-Test Entry'!$C134:$AQ134)/Settings!$C$29),"")</f>
        <v/>
      </c>
      <c r="X134" s="37">
        <f>IFERROR(IF($G134="","",SUMIF('Post-Test Entry'!$C$3:$AQ$3,Settings!$A$30,'Post-Test Entry'!$C134:$AQ134)/Settings!$C$30),"")</f>
        <v/>
      </c>
      <c r="Y134" s="37">
        <f>IFERROR(IF($G134="","",SUMIF('Post-Test Entry'!$C$3:$AQ$3,Settings!$A$31,'Post-Test Entry'!$C134:$AQ134)/Settings!$C$31),"")</f>
        <v/>
      </c>
      <c r="Z134" s="37">
        <f>IFERROR(IF($G134="","",SUMIF('Post-Test Entry'!$C$3:$AQ$3,Settings!$A$32,'Post-Test Entry'!$C134:$AQ134)/Settings!$C$32),"")</f>
        <v/>
      </c>
      <c r="AA134" s="37">
        <f>IFERROR(IF($G134="","",SUMIF('Post-Test Entry'!$C$3:$AQ$3,Settings!$A$33,'Post-Test Entry'!$C134:$AQ134)/Settings!$C$33),"")</f>
        <v/>
      </c>
      <c r="AB134" s="37">
        <f>IFERROR(IF($G134="","",SUMIF('Post-Test Entry'!$C$3:$AQ$3,Settings!$A$34,'Post-Test Entry'!$C134:$AQ134)/Settings!$C$34),"")</f>
        <v/>
      </c>
      <c r="AC134" s="37">
        <f>IF(OR(O134="",V134=""),"",V134-O134)</f>
        <v/>
      </c>
      <c r="AD134" s="37">
        <f>IF(OR(P134="",W134=""),"",W134-P134)</f>
        <v/>
      </c>
      <c r="AE134" s="37">
        <f>IF(OR(Q134="",X134=""),"",X134-Q134)</f>
        <v/>
      </c>
      <c r="AF134" s="37">
        <f>IF(OR(R134="",Y134=""),"",Y134-R134)</f>
        <v/>
      </c>
      <c r="AG134" s="37">
        <f>IF(OR(S134="",Z134=""),"",Z134-S134)</f>
        <v/>
      </c>
      <c r="AH134" s="37">
        <f>IF(OR(T134="",AA134=""),"",AA134-T134)</f>
        <v/>
      </c>
      <c r="AI134" s="37">
        <f>IF(OR(U134="",AB134=""),"",AB134-U134)</f>
        <v/>
      </c>
      <c r="AJ134" s="30">
        <f>IFERROR(IF($G134&lt;&gt;"",INDEX($V$4:$AB$4,MATCH(MIN($V134:$AB134),$V134:$AB134,0)),IF($D134&lt;&gt;"",INDEX($O$4:$U$4,MATCH(MIN($O134:$U134),$O134:$U134,0)),"")),"")</f>
        <v/>
      </c>
      <c r="AK134" s="30">
        <f>IFERROR(IF($G134&lt;&gt;"",INDEX($V$4:$AB$4,MATCH(SMALL($V134:$AB134,2),$V134:$AB134,0)),IF($D134&lt;&gt;"",INDEX($O$4:$U$4,MATCH(SMALL($O134:$U134,2),$O134:$U134,0)),"")),"")</f>
        <v/>
      </c>
      <c r="AL134" s="30">
        <f>IF(OR(G134="",Settings!$B$17=""),"",IF(OR(ABS(G134-Settings!$B$5)&lt;=Settings!$B$17,ABS(G134-Settings!$B$6)&lt;=Settings!$B$17,ABS(G134-Settings!$B$7)&lt;=Settings!$B$17),"NEAR CUT",""))</f>
        <v/>
      </c>
      <c r="AM134" s="31">
        <f>IF('Post-Test Entry'!$AR134&lt;&gt;"","Post essay: code "&amp;'Post-Test Entry'!$AR134,IF('Pre-Test Entry'!$AR134&lt;&gt;"","Pre essay: code "&amp;'Pre-Test Entry'!$AR134,""))</f>
        <v/>
      </c>
      <c r="AN134" s="39">
        <f>IFERROR(IF($AJ134="","",INDEX(Settings!$D$28:$D$34,MATCH($AJ134,Settings!$A$28:$A$34,0))),"")</f>
        <v/>
      </c>
      <c r="AP134">
        <f>IF(D134="","",D134^2)</f>
        <v/>
      </c>
      <c r="AQ134">
        <f>IF(G134="","",G134^2)</f>
        <v/>
      </c>
    </row>
    <row r="135">
      <c r="A135" s="30">
        <f>IF(Roster!$A135="","",Roster!$A135)</f>
        <v/>
      </c>
      <c r="B135" s="31">
        <f>IF(Roster!$B135&lt;&gt;"",Roster!$C135&amp;" "&amp;Roster!$B135,"")</f>
        <v/>
      </c>
      <c r="C135" s="30">
        <f>IF(Roster!$B135&lt;&gt;"",Roster!$D135,"")</f>
        <v/>
      </c>
      <c r="D135" s="16">
        <f>IF(AND(Roster!$B135&lt;&gt;"",COUNT('Pre-Test Entry'!$C135:$AQ135)&gt;0),'Pre-Test Entry'!$AS135,"")</f>
        <v/>
      </c>
      <c r="E135" s="37">
        <f>IFERROR(D135/Settings!$B$8,"")</f>
        <v/>
      </c>
      <c r="F135" s="31">
        <f>IF(D135="","",IF(D135&gt;=Settings!$B$7,"Distinguished Learner",IF(D135&gt;=Settings!$B$6,"Proficient Learner",IF(D135&gt;=Settings!$B$5,"Developing Learner","Beginning Learner"))))</f>
        <v/>
      </c>
      <c r="G135" s="16">
        <f>IF(AND(Roster!$B135&lt;&gt;"",COUNT('Post-Test Entry'!$C135:$AQ135)&gt;0),'Post-Test Entry'!$AS135,"")</f>
        <v/>
      </c>
      <c r="H135" s="37">
        <f>IFERROR(G135/Settings!$B$8,"")</f>
        <v/>
      </c>
      <c r="I135" s="31">
        <f>IF(G135="","",IF(G135&gt;=Settings!$B$7,"Distinguished Learner",IF(G135&gt;=Settings!$B$6,"Proficient Learner",IF(G135&gt;=Settings!$B$5,"Developing Learner","Beginning Learner"))))</f>
        <v/>
      </c>
      <c r="J135" s="16">
        <f>IF(OR(D135="",G135=""),"",G135-D135)</f>
        <v/>
      </c>
      <c r="K135" s="37">
        <f>IFERROR(IF(OR(J135="",J135&lt;=0),"",(G135-D135)/(Settings!$B$8-D135)),"")</f>
        <v/>
      </c>
      <c r="L135" s="38">
        <f>IFERROR(IF(J135="","",(G135-D135)/(Settings!$B$17*SQRT(2))),"")</f>
        <v/>
      </c>
      <c r="M135" s="30">
        <f>IF(L135="","",IF(ABS(L135)&gt;=1.96,"Yes","No"))</f>
        <v/>
      </c>
      <c r="N135" s="30">
        <f>IF(J135="","",IF(J135&gt;=Settings!$B$15,"Yes","No"))</f>
        <v/>
      </c>
      <c r="O135" s="37">
        <f>IFERROR(IF($D135="","",SUMIF('Pre-Test Entry'!$C$3:$AQ$3,Settings!$A$28,'Pre-Test Entry'!$C135:$AQ135)/Settings!$C$28),"")</f>
        <v/>
      </c>
      <c r="P135" s="37">
        <f>IFERROR(IF($D135="","",SUMIF('Pre-Test Entry'!$C$3:$AQ$3,Settings!$A$29,'Pre-Test Entry'!$C135:$AQ135)/Settings!$C$29),"")</f>
        <v/>
      </c>
      <c r="Q135" s="37">
        <f>IFERROR(IF($D135="","",SUMIF('Pre-Test Entry'!$C$3:$AQ$3,Settings!$A$30,'Pre-Test Entry'!$C135:$AQ135)/Settings!$C$30),"")</f>
        <v/>
      </c>
      <c r="R135" s="37">
        <f>IFERROR(IF($D135="","",SUMIF('Pre-Test Entry'!$C$3:$AQ$3,Settings!$A$31,'Pre-Test Entry'!$C135:$AQ135)/Settings!$C$31),"")</f>
        <v/>
      </c>
      <c r="S135" s="37">
        <f>IFERROR(IF($D135="","",SUMIF('Pre-Test Entry'!$C$3:$AQ$3,Settings!$A$32,'Pre-Test Entry'!$C135:$AQ135)/Settings!$C$32),"")</f>
        <v/>
      </c>
      <c r="T135" s="37">
        <f>IFERROR(IF($D135="","",SUMIF('Pre-Test Entry'!$C$3:$AQ$3,Settings!$A$33,'Pre-Test Entry'!$C135:$AQ135)/Settings!$C$33),"")</f>
        <v/>
      </c>
      <c r="U135" s="37">
        <f>IFERROR(IF($D135="","",SUMIF('Pre-Test Entry'!$C$3:$AQ$3,Settings!$A$34,'Pre-Test Entry'!$C135:$AQ135)/Settings!$C$34),"")</f>
        <v/>
      </c>
      <c r="V135" s="37">
        <f>IFERROR(IF($G135="","",SUMIF('Post-Test Entry'!$C$3:$AQ$3,Settings!$A$28,'Post-Test Entry'!$C135:$AQ135)/Settings!$C$28),"")</f>
        <v/>
      </c>
      <c r="W135" s="37">
        <f>IFERROR(IF($G135="","",SUMIF('Post-Test Entry'!$C$3:$AQ$3,Settings!$A$29,'Post-Test Entry'!$C135:$AQ135)/Settings!$C$29),"")</f>
        <v/>
      </c>
      <c r="X135" s="37">
        <f>IFERROR(IF($G135="","",SUMIF('Post-Test Entry'!$C$3:$AQ$3,Settings!$A$30,'Post-Test Entry'!$C135:$AQ135)/Settings!$C$30),"")</f>
        <v/>
      </c>
      <c r="Y135" s="37">
        <f>IFERROR(IF($G135="","",SUMIF('Post-Test Entry'!$C$3:$AQ$3,Settings!$A$31,'Post-Test Entry'!$C135:$AQ135)/Settings!$C$31),"")</f>
        <v/>
      </c>
      <c r="Z135" s="37">
        <f>IFERROR(IF($G135="","",SUMIF('Post-Test Entry'!$C$3:$AQ$3,Settings!$A$32,'Post-Test Entry'!$C135:$AQ135)/Settings!$C$32),"")</f>
        <v/>
      </c>
      <c r="AA135" s="37">
        <f>IFERROR(IF($G135="","",SUMIF('Post-Test Entry'!$C$3:$AQ$3,Settings!$A$33,'Post-Test Entry'!$C135:$AQ135)/Settings!$C$33),"")</f>
        <v/>
      </c>
      <c r="AB135" s="37">
        <f>IFERROR(IF($G135="","",SUMIF('Post-Test Entry'!$C$3:$AQ$3,Settings!$A$34,'Post-Test Entry'!$C135:$AQ135)/Settings!$C$34),"")</f>
        <v/>
      </c>
      <c r="AC135" s="37">
        <f>IF(OR(O135="",V135=""),"",V135-O135)</f>
        <v/>
      </c>
      <c r="AD135" s="37">
        <f>IF(OR(P135="",W135=""),"",W135-P135)</f>
        <v/>
      </c>
      <c r="AE135" s="37">
        <f>IF(OR(Q135="",X135=""),"",X135-Q135)</f>
        <v/>
      </c>
      <c r="AF135" s="37">
        <f>IF(OR(R135="",Y135=""),"",Y135-R135)</f>
        <v/>
      </c>
      <c r="AG135" s="37">
        <f>IF(OR(S135="",Z135=""),"",Z135-S135)</f>
        <v/>
      </c>
      <c r="AH135" s="37">
        <f>IF(OR(T135="",AA135=""),"",AA135-T135)</f>
        <v/>
      </c>
      <c r="AI135" s="37">
        <f>IF(OR(U135="",AB135=""),"",AB135-U135)</f>
        <v/>
      </c>
      <c r="AJ135" s="30">
        <f>IFERROR(IF($G135&lt;&gt;"",INDEX($V$4:$AB$4,MATCH(MIN($V135:$AB135),$V135:$AB135,0)),IF($D135&lt;&gt;"",INDEX($O$4:$U$4,MATCH(MIN($O135:$U135),$O135:$U135,0)),"")),"")</f>
        <v/>
      </c>
      <c r="AK135" s="30">
        <f>IFERROR(IF($G135&lt;&gt;"",INDEX($V$4:$AB$4,MATCH(SMALL($V135:$AB135,2),$V135:$AB135,0)),IF($D135&lt;&gt;"",INDEX($O$4:$U$4,MATCH(SMALL($O135:$U135,2),$O135:$U135,0)),"")),"")</f>
        <v/>
      </c>
      <c r="AL135" s="30">
        <f>IF(OR(G135="",Settings!$B$17=""),"",IF(OR(ABS(G135-Settings!$B$5)&lt;=Settings!$B$17,ABS(G135-Settings!$B$6)&lt;=Settings!$B$17,ABS(G135-Settings!$B$7)&lt;=Settings!$B$17),"NEAR CUT",""))</f>
        <v/>
      </c>
      <c r="AM135" s="31">
        <f>IF('Post-Test Entry'!$AR135&lt;&gt;"","Post essay: code "&amp;'Post-Test Entry'!$AR135,IF('Pre-Test Entry'!$AR135&lt;&gt;"","Pre essay: code "&amp;'Pre-Test Entry'!$AR135,""))</f>
        <v/>
      </c>
      <c r="AN135" s="39">
        <f>IFERROR(IF($AJ135="","",INDEX(Settings!$D$28:$D$34,MATCH($AJ135,Settings!$A$28:$A$34,0))),"")</f>
        <v/>
      </c>
      <c r="AP135">
        <f>IF(D135="","",D135^2)</f>
        <v/>
      </c>
      <c r="AQ135">
        <f>IF(G135="","",G135^2)</f>
        <v/>
      </c>
    </row>
    <row r="136">
      <c r="A136" s="30">
        <f>IF(Roster!$A136="","",Roster!$A136)</f>
        <v/>
      </c>
      <c r="B136" s="31">
        <f>IF(Roster!$B136&lt;&gt;"",Roster!$C136&amp;" "&amp;Roster!$B136,"")</f>
        <v/>
      </c>
      <c r="C136" s="30">
        <f>IF(Roster!$B136&lt;&gt;"",Roster!$D136,"")</f>
        <v/>
      </c>
      <c r="D136" s="16">
        <f>IF(AND(Roster!$B136&lt;&gt;"",COUNT('Pre-Test Entry'!$C136:$AQ136)&gt;0),'Pre-Test Entry'!$AS136,"")</f>
        <v/>
      </c>
      <c r="E136" s="37">
        <f>IFERROR(D136/Settings!$B$8,"")</f>
        <v/>
      </c>
      <c r="F136" s="31">
        <f>IF(D136="","",IF(D136&gt;=Settings!$B$7,"Distinguished Learner",IF(D136&gt;=Settings!$B$6,"Proficient Learner",IF(D136&gt;=Settings!$B$5,"Developing Learner","Beginning Learner"))))</f>
        <v/>
      </c>
      <c r="G136" s="16">
        <f>IF(AND(Roster!$B136&lt;&gt;"",COUNT('Post-Test Entry'!$C136:$AQ136)&gt;0),'Post-Test Entry'!$AS136,"")</f>
        <v/>
      </c>
      <c r="H136" s="37">
        <f>IFERROR(G136/Settings!$B$8,"")</f>
        <v/>
      </c>
      <c r="I136" s="31">
        <f>IF(G136="","",IF(G136&gt;=Settings!$B$7,"Distinguished Learner",IF(G136&gt;=Settings!$B$6,"Proficient Learner",IF(G136&gt;=Settings!$B$5,"Developing Learner","Beginning Learner"))))</f>
        <v/>
      </c>
      <c r="J136" s="16">
        <f>IF(OR(D136="",G136=""),"",G136-D136)</f>
        <v/>
      </c>
      <c r="K136" s="37">
        <f>IFERROR(IF(OR(J136="",J136&lt;=0),"",(G136-D136)/(Settings!$B$8-D136)),"")</f>
        <v/>
      </c>
      <c r="L136" s="38">
        <f>IFERROR(IF(J136="","",(G136-D136)/(Settings!$B$17*SQRT(2))),"")</f>
        <v/>
      </c>
      <c r="M136" s="30">
        <f>IF(L136="","",IF(ABS(L136)&gt;=1.96,"Yes","No"))</f>
        <v/>
      </c>
      <c r="N136" s="30">
        <f>IF(J136="","",IF(J136&gt;=Settings!$B$15,"Yes","No"))</f>
        <v/>
      </c>
      <c r="O136" s="37">
        <f>IFERROR(IF($D136="","",SUMIF('Pre-Test Entry'!$C$3:$AQ$3,Settings!$A$28,'Pre-Test Entry'!$C136:$AQ136)/Settings!$C$28),"")</f>
        <v/>
      </c>
      <c r="P136" s="37">
        <f>IFERROR(IF($D136="","",SUMIF('Pre-Test Entry'!$C$3:$AQ$3,Settings!$A$29,'Pre-Test Entry'!$C136:$AQ136)/Settings!$C$29),"")</f>
        <v/>
      </c>
      <c r="Q136" s="37">
        <f>IFERROR(IF($D136="","",SUMIF('Pre-Test Entry'!$C$3:$AQ$3,Settings!$A$30,'Pre-Test Entry'!$C136:$AQ136)/Settings!$C$30),"")</f>
        <v/>
      </c>
      <c r="R136" s="37">
        <f>IFERROR(IF($D136="","",SUMIF('Pre-Test Entry'!$C$3:$AQ$3,Settings!$A$31,'Pre-Test Entry'!$C136:$AQ136)/Settings!$C$31),"")</f>
        <v/>
      </c>
      <c r="S136" s="37">
        <f>IFERROR(IF($D136="","",SUMIF('Pre-Test Entry'!$C$3:$AQ$3,Settings!$A$32,'Pre-Test Entry'!$C136:$AQ136)/Settings!$C$32),"")</f>
        <v/>
      </c>
      <c r="T136" s="37">
        <f>IFERROR(IF($D136="","",SUMIF('Pre-Test Entry'!$C$3:$AQ$3,Settings!$A$33,'Pre-Test Entry'!$C136:$AQ136)/Settings!$C$33),"")</f>
        <v/>
      </c>
      <c r="U136" s="37">
        <f>IFERROR(IF($D136="","",SUMIF('Pre-Test Entry'!$C$3:$AQ$3,Settings!$A$34,'Pre-Test Entry'!$C136:$AQ136)/Settings!$C$34),"")</f>
        <v/>
      </c>
      <c r="V136" s="37">
        <f>IFERROR(IF($G136="","",SUMIF('Post-Test Entry'!$C$3:$AQ$3,Settings!$A$28,'Post-Test Entry'!$C136:$AQ136)/Settings!$C$28),"")</f>
        <v/>
      </c>
      <c r="W136" s="37">
        <f>IFERROR(IF($G136="","",SUMIF('Post-Test Entry'!$C$3:$AQ$3,Settings!$A$29,'Post-Test Entry'!$C136:$AQ136)/Settings!$C$29),"")</f>
        <v/>
      </c>
      <c r="X136" s="37">
        <f>IFERROR(IF($G136="","",SUMIF('Post-Test Entry'!$C$3:$AQ$3,Settings!$A$30,'Post-Test Entry'!$C136:$AQ136)/Settings!$C$30),"")</f>
        <v/>
      </c>
      <c r="Y136" s="37">
        <f>IFERROR(IF($G136="","",SUMIF('Post-Test Entry'!$C$3:$AQ$3,Settings!$A$31,'Post-Test Entry'!$C136:$AQ136)/Settings!$C$31),"")</f>
        <v/>
      </c>
      <c r="Z136" s="37">
        <f>IFERROR(IF($G136="","",SUMIF('Post-Test Entry'!$C$3:$AQ$3,Settings!$A$32,'Post-Test Entry'!$C136:$AQ136)/Settings!$C$32),"")</f>
        <v/>
      </c>
      <c r="AA136" s="37">
        <f>IFERROR(IF($G136="","",SUMIF('Post-Test Entry'!$C$3:$AQ$3,Settings!$A$33,'Post-Test Entry'!$C136:$AQ136)/Settings!$C$33),"")</f>
        <v/>
      </c>
      <c r="AB136" s="37">
        <f>IFERROR(IF($G136="","",SUMIF('Post-Test Entry'!$C$3:$AQ$3,Settings!$A$34,'Post-Test Entry'!$C136:$AQ136)/Settings!$C$34),"")</f>
        <v/>
      </c>
      <c r="AC136" s="37">
        <f>IF(OR(O136="",V136=""),"",V136-O136)</f>
        <v/>
      </c>
      <c r="AD136" s="37">
        <f>IF(OR(P136="",W136=""),"",W136-P136)</f>
        <v/>
      </c>
      <c r="AE136" s="37">
        <f>IF(OR(Q136="",X136=""),"",X136-Q136)</f>
        <v/>
      </c>
      <c r="AF136" s="37">
        <f>IF(OR(R136="",Y136=""),"",Y136-R136)</f>
        <v/>
      </c>
      <c r="AG136" s="37">
        <f>IF(OR(S136="",Z136=""),"",Z136-S136)</f>
        <v/>
      </c>
      <c r="AH136" s="37">
        <f>IF(OR(T136="",AA136=""),"",AA136-T136)</f>
        <v/>
      </c>
      <c r="AI136" s="37">
        <f>IF(OR(U136="",AB136=""),"",AB136-U136)</f>
        <v/>
      </c>
      <c r="AJ136" s="30">
        <f>IFERROR(IF($G136&lt;&gt;"",INDEX($V$4:$AB$4,MATCH(MIN($V136:$AB136),$V136:$AB136,0)),IF($D136&lt;&gt;"",INDEX($O$4:$U$4,MATCH(MIN($O136:$U136),$O136:$U136,0)),"")),"")</f>
        <v/>
      </c>
      <c r="AK136" s="30">
        <f>IFERROR(IF($G136&lt;&gt;"",INDEX($V$4:$AB$4,MATCH(SMALL($V136:$AB136,2),$V136:$AB136,0)),IF($D136&lt;&gt;"",INDEX($O$4:$U$4,MATCH(SMALL($O136:$U136,2),$O136:$U136,0)),"")),"")</f>
        <v/>
      </c>
      <c r="AL136" s="30">
        <f>IF(OR(G136="",Settings!$B$17=""),"",IF(OR(ABS(G136-Settings!$B$5)&lt;=Settings!$B$17,ABS(G136-Settings!$B$6)&lt;=Settings!$B$17,ABS(G136-Settings!$B$7)&lt;=Settings!$B$17),"NEAR CUT",""))</f>
        <v/>
      </c>
      <c r="AM136" s="31">
        <f>IF('Post-Test Entry'!$AR136&lt;&gt;"","Post essay: code "&amp;'Post-Test Entry'!$AR136,IF('Pre-Test Entry'!$AR136&lt;&gt;"","Pre essay: code "&amp;'Pre-Test Entry'!$AR136,""))</f>
        <v/>
      </c>
      <c r="AN136" s="39">
        <f>IFERROR(IF($AJ136="","",INDEX(Settings!$D$28:$D$34,MATCH($AJ136,Settings!$A$28:$A$34,0))),"")</f>
        <v/>
      </c>
      <c r="AP136">
        <f>IF(D136="","",D136^2)</f>
        <v/>
      </c>
      <c r="AQ136">
        <f>IF(G136="","",G136^2)</f>
        <v/>
      </c>
    </row>
    <row r="137">
      <c r="A137" s="30">
        <f>IF(Roster!$A137="","",Roster!$A137)</f>
        <v/>
      </c>
      <c r="B137" s="31">
        <f>IF(Roster!$B137&lt;&gt;"",Roster!$C137&amp;" "&amp;Roster!$B137,"")</f>
        <v/>
      </c>
      <c r="C137" s="30">
        <f>IF(Roster!$B137&lt;&gt;"",Roster!$D137,"")</f>
        <v/>
      </c>
      <c r="D137" s="16">
        <f>IF(AND(Roster!$B137&lt;&gt;"",COUNT('Pre-Test Entry'!$C137:$AQ137)&gt;0),'Pre-Test Entry'!$AS137,"")</f>
        <v/>
      </c>
      <c r="E137" s="37">
        <f>IFERROR(D137/Settings!$B$8,"")</f>
        <v/>
      </c>
      <c r="F137" s="31">
        <f>IF(D137="","",IF(D137&gt;=Settings!$B$7,"Distinguished Learner",IF(D137&gt;=Settings!$B$6,"Proficient Learner",IF(D137&gt;=Settings!$B$5,"Developing Learner","Beginning Learner"))))</f>
        <v/>
      </c>
      <c r="G137" s="16">
        <f>IF(AND(Roster!$B137&lt;&gt;"",COUNT('Post-Test Entry'!$C137:$AQ137)&gt;0),'Post-Test Entry'!$AS137,"")</f>
        <v/>
      </c>
      <c r="H137" s="37">
        <f>IFERROR(G137/Settings!$B$8,"")</f>
        <v/>
      </c>
      <c r="I137" s="31">
        <f>IF(G137="","",IF(G137&gt;=Settings!$B$7,"Distinguished Learner",IF(G137&gt;=Settings!$B$6,"Proficient Learner",IF(G137&gt;=Settings!$B$5,"Developing Learner","Beginning Learner"))))</f>
        <v/>
      </c>
      <c r="J137" s="16">
        <f>IF(OR(D137="",G137=""),"",G137-D137)</f>
        <v/>
      </c>
      <c r="K137" s="37">
        <f>IFERROR(IF(OR(J137="",J137&lt;=0),"",(G137-D137)/(Settings!$B$8-D137)),"")</f>
        <v/>
      </c>
      <c r="L137" s="38">
        <f>IFERROR(IF(J137="","",(G137-D137)/(Settings!$B$17*SQRT(2))),"")</f>
        <v/>
      </c>
      <c r="M137" s="30">
        <f>IF(L137="","",IF(ABS(L137)&gt;=1.96,"Yes","No"))</f>
        <v/>
      </c>
      <c r="N137" s="30">
        <f>IF(J137="","",IF(J137&gt;=Settings!$B$15,"Yes","No"))</f>
        <v/>
      </c>
      <c r="O137" s="37">
        <f>IFERROR(IF($D137="","",SUMIF('Pre-Test Entry'!$C$3:$AQ$3,Settings!$A$28,'Pre-Test Entry'!$C137:$AQ137)/Settings!$C$28),"")</f>
        <v/>
      </c>
      <c r="P137" s="37">
        <f>IFERROR(IF($D137="","",SUMIF('Pre-Test Entry'!$C$3:$AQ$3,Settings!$A$29,'Pre-Test Entry'!$C137:$AQ137)/Settings!$C$29),"")</f>
        <v/>
      </c>
      <c r="Q137" s="37">
        <f>IFERROR(IF($D137="","",SUMIF('Pre-Test Entry'!$C$3:$AQ$3,Settings!$A$30,'Pre-Test Entry'!$C137:$AQ137)/Settings!$C$30),"")</f>
        <v/>
      </c>
      <c r="R137" s="37">
        <f>IFERROR(IF($D137="","",SUMIF('Pre-Test Entry'!$C$3:$AQ$3,Settings!$A$31,'Pre-Test Entry'!$C137:$AQ137)/Settings!$C$31),"")</f>
        <v/>
      </c>
      <c r="S137" s="37">
        <f>IFERROR(IF($D137="","",SUMIF('Pre-Test Entry'!$C$3:$AQ$3,Settings!$A$32,'Pre-Test Entry'!$C137:$AQ137)/Settings!$C$32),"")</f>
        <v/>
      </c>
      <c r="T137" s="37">
        <f>IFERROR(IF($D137="","",SUMIF('Pre-Test Entry'!$C$3:$AQ$3,Settings!$A$33,'Pre-Test Entry'!$C137:$AQ137)/Settings!$C$33),"")</f>
        <v/>
      </c>
      <c r="U137" s="37">
        <f>IFERROR(IF($D137="","",SUMIF('Pre-Test Entry'!$C$3:$AQ$3,Settings!$A$34,'Pre-Test Entry'!$C137:$AQ137)/Settings!$C$34),"")</f>
        <v/>
      </c>
      <c r="V137" s="37">
        <f>IFERROR(IF($G137="","",SUMIF('Post-Test Entry'!$C$3:$AQ$3,Settings!$A$28,'Post-Test Entry'!$C137:$AQ137)/Settings!$C$28),"")</f>
        <v/>
      </c>
      <c r="W137" s="37">
        <f>IFERROR(IF($G137="","",SUMIF('Post-Test Entry'!$C$3:$AQ$3,Settings!$A$29,'Post-Test Entry'!$C137:$AQ137)/Settings!$C$29),"")</f>
        <v/>
      </c>
      <c r="X137" s="37">
        <f>IFERROR(IF($G137="","",SUMIF('Post-Test Entry'!$C$3:$AQ$3,Settings!$A$30,'Post-Test Entry'!$C137:$AQ137)/Settings!$C$30),"")</f>
        <v/>
      </c>
      <c r="Y137" s="37">
        <f>IFERROR(IF($G137="","",SUMIF('Post-Test Entry'!$C$3:$AQ$3,Settings!$A$31,'Post-Test Entry'!$C137:$AQ137)/Settings!$C$31),"")</f>
        <v/>
      </c>
      <c r="Z137" s="37">
        <f>IFERROR(IF($G137="","",SUMIF('Post-Test Entry'!$C$3:$AQ$3,Settings!$A$32,'Post-Test Entry'!$C137:$AQ137)/Settings!$C$32),"")</f>
        <v/>
      </c>
      <c r="AA137" s="37">
        <f>IFERROR(IF($G137="","",SUMIF('Post-Test Entry'!$C$3:$AQ$3,Settings!$A$33,'Post-Test Entry'!$C137:$AQ137)/Settings!$C$33),"")</f>
        <v/>
      </c>
      <c r="AB137" s="37">
        <f>IFERROR(IF($G137="","",SUMIF('Post-Test Entry'!$C$3:$AQ$3,Settings!$A$34,'Post-Test Entry'!$C137:$AQ137)/Settings!$C$34),"")</f>
        <v/>
      </c>
      <c r="AC137" s="37">
        <f>IF(OR(O137="",V137=""),"",V137-O137)</f>
        <v/>
      </c>
      <c r="AD137" s="37">
        <f>IF(OR(P137="",W137=""),"",W137-P137)</f>
        <v/>
      </c>
      <c r="AE137" s="37">
        <f>IF(OR(Q137="",X137=""),"",X137-Q137)</f>
        <v/>
      </c>
      <c r="AF137" s="37">
        <f>IF(OR(R137="",Y137=""),"",Y137-R137)</f>
        <v/>
      </c>
      <c r="AG137" s="37">
        <f>IF(OR(S137="",Z137=""),"",Z137-S137)</f>
        <v/>
      </c>
      <c r="AH137" s="37">
        <f>IF(OR(T137="",AA137=""),"",AA137-T137)</f>
        <v/>
      </c>
      <c r="AI137" s="37">
        <f>IF(OR(U137="",AB137=""),"",AB137-U137)</f>
        <v/>
      </c>
      <c r="AJ137" s="30">
        <f>IFERROR(IF($G137&lt;&gt;"",INDEX($V$4:$AB$4,MATCH(MIN($V137:$AB137),$V137:$AB137,0)),IF($D137&lt;&gt;"",INDEX($O$4:$U$4,MATCH(MIN($O137:$U137),$O137:$U137,0)),"")),"")</f>
        <v/>
      </c>
      <c r="AK137" s="30">
        <f>IFERROR(IF($G137&lt;&gt;"",INDEX($V$4:$AB$4,MATCH(SMALL($V137:$AB137,2),$V137:$AB137,0)),IF($D137&lt;&gt;"",INDEX($O$4:$U$4,MATCH(SMALL($O137:$U137,2),$O137:$U137,0)),"")),"")</f>
        <v/>
      </c>
      <c r="AL137" s="30">
        <f>IF(OR(G137="",Settings!$B$17=""),"",IF(OR(ABS(G137-Settings!$B$5)&lt;=Settings!$B$17,ABS(G137-Settings!$B$6)&lt;=Settings!$B$17,ABS(G137-Settings!$B$7)&lt;=Settings!$B$17),"NEAR CUT",""))</f>
        <v/>
      </c>
      <c r="AM137" s="31">
        <f>IF('Post-Test Entry'!$AR137&lt;&gt;"","Post essay: code "&amp;'Post-Test Entry'!$AR137,IF('Pre-Test Entry'!$AR137&lt;&gt;"","Pre essay: code "&amp;'Pre-Test Entry'!$AR137,""))</f>
        <v/>
      </c>
      <c r="AN137" s="39">
        <f>IFERROR(IF($AJ137="","",INDEX(Settings!$D$28:$D$34,MATCH($AJ137,Settings!$A$28:$A$34,0))),"")</f>
        <v/>
      </c>
      <c r="AP137">
        <f>IF(D137="","",D137^2)</f>
        <v/>
      </c>
      <c r="AQ137">
        <f>IF(G137="","",G137^2)</f>
        <v/>
      </c>
    </row>
    <row r="138">
      <c r="A138" s="30">
        <f>IF(Roster!$A138="","",Roster!$A138)</f>
        <v/>
      </c>
      <c r="B138" s="31">
        <f>IF(Roster!$B138&lt;&gt;"",Roster!$C138&amp;" "&amp;Roster!$B138,"")</f>
        <v/>
      </c>
      <c r="C138" s="30">
        <f>IF(Roster!$B138&lt;&gt;"",Roster!$D138,"")</f>
        <v/>
      </c>
      <c r="D138" s="16">
        <f>IF(AND(Roster!$B138&lt;&gt;"",COUNT('Pre-Test Entry'!$C138:$AQ138)&gt;0),'Pre-Test Entry'!$AS138,"")</f>
        <v/>
      </c>
      <c r="E138" s="37">
        <f>IFERROR(D138/Settings!$B$8,"")</f>
        <v/>
      </c>
      <c r="F138" s="31">
        <f>IF(D138="","",IF(D138&gt;=Settings!$B$7,"Distinguished Learner",IF(D138&gt;=Settings!$B$6,"Proficient Learner",IF(D138&gt;=Settings!$B$5,"Developing Learner","Beginning Learner"))))</f>
        <v/>
      </c>
      <c r="G138" s="16">
        <f>IF(AND(Roster!$B138&lt;&gt;"",COUNT('Post-Test Entry'!$C138:$AQ138)&gt;0),'Post-Test Entry'!$AS138,"")</f>
        <v/>
      </c>
      <c r="H138" s="37">
        <f>IFERROR(G138/Settings!$B$8,"")</f>
        <v/>
      </c>
      <c r="I138" s="31">
        <f>IF(G138="","",IF(G138&gt;=Settings!$B$7,"Distinguished Learner",IF(G138&gt;=Settings!$B$6,"Proficient Learner",IF(G138&gt;=Settings!$B$5,"Developing Learner","Beginning Learner"))))</f>
        <v/>
      </c>
      <c r="J138" s="16">
        <f>IF(OR(D138="",G138=""),"",G138-D138)</f>
        <v/>
      </c>
      <c r="K138" s="37">
        <f>IFERROR(IF(OR(J138="",J138&lt;=0),"",(G138-D138)/(Settings!$B$8-D138)),"")</f>
        <v/>
      </c>
      <c r="L138" s="38">
        <f>IFERROR(IF(J138="","",(G138-D138)/(Settings!$B$17*SQRT(2))),"")</f>
        <v/>
      </c>
      <c r="M138" s="30">
        <f>IF(L138="","",IF(ABS(L138)&gt;=1.96,"Yes","No"))</f>
        <v/>
      </c>
      <c r="N138" s="30">
        <f>IF(J138="","",IF(J138&gt;=Settings!$B$15,"Yes","No"))</f>
        <v/>
      </c>
      <c r="O138" s="37">
        <f>IFERROR(IF($D138="","",SUMIF('Pre-Test Entry'!$C$3:$AQ$3,Settings!$A$28,'Pre-Test Entry'!$C138:$AQ138)/Settings!$C$28),"")</f>
        <v/>
      </c>
      <c r="P138" s="37">
        <f>IFERROR(IF($D138="","",SUMIF('Pre-Test Entry'!$C$3:$AQ$3,Settings!$A$29,'Pre-Test Entry'!$C138:$AQ138)/Settings!$C$29),"")</f>
        <v/>
      </c>
      <c r="Q138" s="37">
        <f>IFERROR(IF($D138="","",SUMIF('Pre-Test Entry'!$C$3:$AQ$3,Settings!$A$30,'Pre-Test Entry'!$C138:$AQ138)/Settings!$C$30),"")</f>
        <v/>
      </c>
      <c r="R138" s="37">
        <f>IFERROR(IF($D138="","",SUMIF('Pre-Test Entry'!$C$3:$AQ$3,Settings!$A$31,'Pre-Test Entry'!$C138:$AQ138)/Settings!$C$31),"")</f>
        <v/>
      </c>
      <c r="S138" s="37">
        <f>IFERROR(IF($D138="","",SUMIF('Pre-Test Entry'!$C$3:$AQ$3,Settings!$A$32,'Pre-Test Entry'!$C138:$AQ138)/Settings!$C$32),"")</f>
        <v/>
      </c>
      <c r="T138" s="37">
        <f>IFERROR(IF($D138="","",SUMIF('Pre-Test Entry'!$C$3:$AQ$3,Settings!$A$33,'Pre-Test Entry'!$C138:$AQ138)/Settings!$C$33),"")</f>
        <v/>
      </c>
      <c r="U138" s="37">
        <f>IFERROR(IF($D138="","",SUMIF('Pre-Test Entry'!$C$3:$AQ$3,Settings!$A$34,'Pre-Test Entry'!$C138:$AQ138)/Settings!$C$34),"")</f>
        <v/>
      </c>
      <c r="V138" s="37">
        <f>IFERROR(IF($G138="","",SUMIF('Post-Test Entry'!$C$3:$AQ$3,Settings!$A$28,'Post-Test Entry'!$C138:$AQ138)/Settings!$C$28),"")</f>
        <v/>
      </c>
      <c r="W138" s="37">
        <f>IFERROR(IF($G138="","",SUMIF('Post-Test Entry'!$C$3:$AQ$3,Settings!$A$29,'Post-Test Entry'!$C138:$AQ138)/Settings!$C$29),"")</f>
        <v/>
      </c>
      <c r="X138" s="37">
        <f>IFERROR(IF($G138="","",SUMIF('Post-Test Entry'!$C$3:$AQ$3,Settings!$A$30,'Post-Test Entry'!$C138:$AQ138)/Settings!$C$30),"")</f>
        <v/>
      </c>
      <c r="Y138" s="37">
        <f>IFERROR(IF($G138="","",SUMIF('Post-Test Entry'!$C$3:$AQ$3,Settings!$A$31,'Post-Test Entry'!$C138:$AQ138)/Settings!$C$31),"")</f>
        <v/>
      </c>
      <c r="Z138" s="37">
        <f>IFERROR(IF($G138="","",SUMIF('Post-Test Entry'!$C$3:$AQ$3,Settings!$A$32,'Post-Test Entry'!$C138:$AQ138)/Settings!$C$32),"")</f>
        <v/>
      </c>
      <c r="AA138" s="37">
        <f>IFERROR(IF($G138="","",SUMIF('Post-Test Entry'!$C$3:$AQ$3,Settings!$A$33,'Post-Test Entry'!$C138:$AQ138)/Settings!$C$33),"")</f>
        <v/>
      </c>
      <c r="AB138" s="37">
        <f>IFERROR(IF($G138="","",SUMIF('Post-Test Entry'!$C$3:$AQ$3,Settings!$A$34,'Post-Test Entry'!$C138:$AQ138)/Settings!$C$34),"")</f>
        <v/>
      </c>
      <c r="AC138" s="37">
        <f>IF(OR(O138="",V138=""),"",V138-O138)</f>
        <v/>
      </c>
      <c r="AD138" s="37">
        <f>IF(OR(P138="",W138=""),"",W138-P138)</f>
        <v/>
      </c>
      <c r="AE138" s="37">
        <f>IF(OR(Q138="",X138=""),"",X138-Q138)</f>
        <v/>
      </c>
      <c r="AF138" s="37">
        <f>IF(OR(R138="",Y138=""),"",Y138-R138)</f>
        <v/>
      </c>
      <c r="AG138" s="37">
        <f>IF(OR(S138="",Z138=""),"",Z138-S138)</f>
        <v/>
      </c>
      <c r="AH138" s="37">
        <f>IF(OR(T138="",AA138=""),"",AA138-T138)</f>
        <v/>
      </c>
      <c r="AI138" s="37">
        <f>IF(OR(U138="",AB138=""),"",AB138-U138)</f>
        <v/>
      </c>
      <c r="AJ138" s="30">
        <f>IFERROR(IF($G138&lt;&gt;"",INDEX($V$4:$AB$4,MATCH(MIN($V138:$AB138),$V138:$AB138,0)),IF($D138&lt;&gt;"",INDEX($O$4:$U$4,MATCH(MIN($O138:$U138),$O138:$U138,0)),"")),"")</f>
        <v/>
      </c>
      <c r="AK138" s="30">
        <f>IFERROR(IF($G138&lt;&gt;"",INDEX($V$4:$AB$4,MATCH(SMALL($V138:$AB138,2),$V138:$AB138,0)),IF($D138&lt;&gt;"",INDEX($O$4:$U$4,MATCH(SMALL($O138:$U138,2),$O138:$U138,0)),"")),"")</f>
        <v/>
      </c>
      <c r="AL138" s="30">
        <f>IF(OR(G138="",Settings!$B$17=""),"",IF(OR(ABS(G138-Settings!$B$5)&lt;=Settings!$B$17,ABS(G138-Settings!$B$6)&lt;=Settings!$B$17,ABS(G138-Settings!$B$7)&lt;=Settings!$B$17),"NEAR CUT",""))</f>
        <v/>
      </c>
      <c r="AM138" s="31">
        <f>IF('Post-Test Entry'!$AR138&lt;&gt;"","Post essay: code "&amp;'Post-Test Entry'!$AR138,IF('Pre-Test Entry'!$AR138&lt;&gt;"","Pre essay: code "&amp;'Pre-Test Entry'!$AR138,""))</f>
        <v/>
      </c>
      <c r="AN138" s="39">
        <f>IFERROR(IF($AJ138="","",INDEX(Settings!$D$28:$D$34,MATCH($AJ138,Settings!$A$28:$A$34,0))),"")</f>
        <v/>
      </c>
      <c r="AP138">
        <f>IF(D138="","",D138^2)</f>
        <v/>
      </c>
      <c r="AQ138">
        <f>IF(G138="","",G138^2)</f>
        <v/>
      </c>
    </row>
    <row r="139">
      <c r="A139" s="30">
        <f>IF(Roster!$A139="","",Roster!$A139)</f>
        <v/>
      </c>
      <c r="B139" s="31">
        <f>IF(Roster!$B139&lt;&gt;"",Roster!$C139&amp;" "&amp;Roster!$B139,"")</f>
        <v/>
      </c>
      <c r="C139" s="30">
        <f>IF(Roster!$B139&lt;&gt;"",Roster!$D139,"")</f>
        <v/>
      </c>
      <c r="D139" s="16">
        <f>IF(AND(Roster!$B139&lt;&gt;"",COUNT('Pre-Test Entry'!$C139:$AQ139)&gt;0),'Pre-Test Entry'!$AS139,"")</f>
        <v/>
      </c>
      <c r="E139" s="37">
        <f>IFERROR(D139/Settings!$B$8,"")</f>
        <v/>
      </c>
      <c r="F139" s="31">
        <f>IF(D139="","",IF(D139&gt;=Settings!$B$7,"Distinguished Learner",IF(D139&gt;=Settings!$B$6,"Proficient Learner",IF(D139&gt;=Settings!$B$5,"Developing Learner","Beginning Learner"))))</f>
        <v/>
      </c>
      <c r="G139" s="16">
        <f>IF(AND(Roster!$B139&lt;&gt;"",COUNT('Post-Test Entry'!$C139:$AQ139)&gt;0),'Post-Test Entry'!$AS139,"")</f>
        <v/>
      </c>
      <c r="H139" s="37">
        <f>IFERROR(G139/Settings!$B$8,"")</f>
        <v/>
      </c>
      <c r="I139" s="31">
        <f>IF(G139="","",IF(G139&gt;=Settings!$B$7,"Distinguished Learner",IF(G139&gt;=Settings!$B$6,"Proficient Learner",IF(G139&gt;=Settings!$B$5,"Developing Learner","Beginning Learner"))))</f>
        <v/>
      </c>
      <c r="J139" s="16">
        <f>IF(OR(D139="",G139=""),"",G139-D139)</f>
        <v/>
      </c>
      <c r="K139" s="37">
        <f>IFERROR(IF(OR(J139="",J139&lt;=0),"",(G139-D139)/(Settings!$B$8-D139)),"")</f>
        <v/>
      </c>
      <c r="L139" s="38">
        <f>IFERROR(IF(J139="","",(G139-D139)/(Settings!$B$17*SQRT(2))),"")</f>
        <v/>
      </c>
      <c r="M139" s="30">
        <f>IF(L139="","",IF(ABS(L139)&gt;=1.96,"Yes","No"))</f>
        <v/>
      </c>
      <c r="N139" s="30">
        <f>IF(J139="","",IF(J139&gt;=Settings!$B$15,"Yes","No"))</f>
        <v/>
      </c>
      <c r="O139" s="37">
        <f>IFERROR(IF($D139="","",SUMIF('Pre-Test Entry'!$C$3:$AQ$3,Settings!$A$28,'Pre-Test Entry'!$C139:$AQ139)/Settings!$C$28),"")</f>
        <v/>
      </c>
      <c r="P139" s="37">
        <f>IFERROR(IF($D139="","",SUMIF('Pre-Test Entry'!$C$3:$AQ$3,Settings!$A$29,'Pre-Test Entry'!$C139:$AQ139)/Settings!$C$29),"")</f>
        <v/>
      </c>
      <c r="Q139" s="37">
        <f>IFERROR(IF($D139="","",SUMIF('Pre-Test Entry'!$C$3:$AQ$3,Settings!$A$30,'Pre-Test Entry'!$C139:$AQ139)/Settings!$C$30),"")</f>
        <v/>
      </c>
      <c r="R139" s="37">
        <f>IFERROR(IF($D139="","",SUMIF('Pre-Test Entry'!$C$3:$AQ$3,Settings!$A$31,'Pre-Test Entry'!$C139:$AQ139)/Settings!$C$31),"")</f>
        <v/>
      </c>
      <c r="S139" s="37">
        <f>IFERROR(IF($D139="","",SUMIF('Pre-Test Entry'!$C$3:$AQ$3,Settings!$A$32,'Pre-Test Entry'!$C139:$AQ139)/Settings!$C$32),"")</f>
        <v/>
      </c>
      <c r="T139" s="37">
        <f>IFERROR(IF($D139="","",SUMIF('Pre-Test Entry'!$C$3:$AQ$3,Settings!$A$33,'Pre-Test Entry'!$C139:$AQ139)/Settings!$C$33),"")</f>
        <v/>
      </c>
      <c r="U139" s="37">
        <f>IFERROR(IF($D139="","",SUMIF('Pre-Test Entry'!$C$3:$AQ$3,Settings!$A$34,'Pre-Test Entry'!$C139:$AQ139)/Settings!$C$34),"")</f>
        <v/>
      </c>
      <c r="V139" s="37">
        <f>IFERROR(IF($G139="","",SUMIF('Post-Test Entry'!$C$3:$AQ$3,Settings!$A$28,'Post-Test Entry'!$C139:$AQ139)/Settings!$C$28),"")</f>
        <v/>
      </c>
      <c r="W139" s="37">
        <f>IFERROR(IF($G139="","",SUMIF('Post-Test Entry'!$C$3:$AQ$3,Settings!$A$29,'Post-Test Entry'!$C139:$AQ139)/Settings!$C$29),"")</f>
        <v/>
      </c>
      <c r="X139" s="37">
        <f>IFERROR(IF($G139="","",SUMIF('Post-Test Entry'!$C$3:$AQ$3,Settings!$A$30,'Post-Test Entry'!$C139:$AQ139)/Settings!$C$30),"")</f>
        <v/>
      </c>
      <c r="Y139" s="37">
        <f>IFERROR(IF($G139="","",SUMIF('Post-Test Entry'!$C$3:$AQ$3,Settings!$A$31,'Post-Test Entry'!$C139:$AQ139)/Settings!$C$31),"")</f>
        <v/>
      </c>
      <c r="Z139" s="37">
        <f>IFERROR(IF($G139="","",SUMIF('Post-Test Entry'!$C$3:$AQ$3,Settings!$A$32,'Post-Test Entry'!$C139:$AQ139)/Settings!$C$32),"")</f>
        <v/>
      </c>
      <c r="AA139" s="37">
        <f>IFERROR(IF($G139="","",SUMIF('Post-Test Entry'!$C$3:$AQ$3,Settings!$A$33,'Post-Test Entry'!$C139:$AQ139)/Settings!$C$33),"")</f>
        <v/>
      </c>
      <c r="AB139" s="37">
        <f>IFERROR(IF($G139="","",SUMIF('Post-Test Entry'!$C$3:$AQ$3,Settings!$A$34,'Post-Test Entry'!$C139:$AQ139)/Settings!$C$34),"")</f>
        <v/>
      </c>
      <c r="AC139" s="37">
        <f>IF(OR(O139="",V139=""),"",V139-O139)</f>
        <v/>
      </c>
      <c r="AD139" s="37">
        <f>IF(OR(P139="",W139=""),"",W139-P139)</f>
        <v/>
      </c>
      <c r="AE139" s="37">
        <f>IF(OR(Q139="",X139=""),"",X139-Q139)</f>
        <v/>
      </c>
      <c r="AF139" s="37">
        <f>IF(OR(R139="",Y139=""),"",Y139-R139)</f>
        <v/>
      </c>
      <c r="AG139" s="37">
        <f>IF(OR(S139="",Z139=""),"",Z139-S139)</f>
        <v/>
      </c>
      <c r="AH139" s="37">
        <f>IF(OR(T139="",AA139=""),"",AA139-T139)</f>
        <v/>
      </c>
      <c r="AI139" s="37">
        <f>IF(OR(U139="",AB139=""),"",AB139-U139)</f>
        <v/>
      </c>
      <c r="AJ139" s="30">
        <f>IFERROR(IF($G139&lt;&gt;"",INDEX($V$4:$AB$4,MATCH(MIN($V139:$AB139),$V139:$AB139,0)),IF($D139&lt;&gt;"",INDEX($O$4:$U$4,MATCH(MIN($O139:$U139),$O139:$U139,0)),"")),"")</f>
        <v/>
      </c>
      <c r="AK139" s="30">
        <f>IFERROR(IF($G139&lt;&gt;"",INDEX($V$4:$AB$4,MATCH(SMALL($V139:$AB139,2),$V139:$AB139,0)),IF($D139&lt;&gt;"",INDEX($O$4:$U$4,MATCH(SMALL($O139:$U139,2),$O139:$U139,0)),"")),"")</f>
        <v/>
      </c>
      <c r="AL139" s="30">
        <f>IF(OR(G139="",Settings!$B$17=""),"",IF(OR(ABS(G139-Settings!$B$5)&lt;=Settings!$B$17,ABS(G139-Settings!$B$6)&lt;=Settings!$B$17,ABS(G139-Settings!$B$7)&lt;=Settings!$B$17),"NEAR CUT",""))</f>
        <v/>
      </c>
      <c r="AM139" s="31">
        <f>IF('Post-Test Entry'!$AR139&lt;&gt;"","Post essay: code "&amp;'Post-Test Entry'!$AR139,IF('Pre-Test Entry'!$AR139&lt;&gt;"","Pre essay: code "&amp;'Pre-Test Entry'!$AR139,""))</f>
        <v/>
      </c>
      <c r="AN139" s="39">
        <f>IFERROR(IF($AJ139="","",INDEX(Settings!$D$28:$D$34,MATCH($AJ139,Settings!$A$28:$A$34,0))),"")</f>
        <v/>
      </c>
      <c r="AP139">
        <f>IF(D139="","",D139^2)</f>
        <v/>
      </c>
      <c r="AQ139">
        <f>IF(G139="","",G139^2)</f>
        <v/>
      </c>
    </row>
    <row r="140">
      <c r="A140" s="30">
        <f>IF(Roster!$A140="","",Roster!$A140)</f>
        <v/>
      </c>
      <c r="B140" s="31">
        <f>IF(Roster!$B140&lt;&gt;"",Roster!$C140&amp;" "&amp;Roster!$B140,"")</f>
        <v/>
      </c>
      <c r="C140" s="30">
        <f>IF(Roster!$B140&lt;&gt;"",Roster!$D140,"")</f>
        <v/>
      </c>
      <c r="D140" s="16">
        <f>IF(AND(Roster!$B140&lt;&gt;"",COUNT('Pre-Test Entry'!$C140:$AQ140)&gt;0),'Pre-Test Entry'!$AS140,"")</f>
        <v/>
      </c>
      <c r="E140" s="37">
        <f>IFERROR(D140/Settings!$B$8,"")</f>
        <v/>
      </c>
      <c r="F140" s="31">
        <f>IF(D140="","",IF(D140&gt;=Settings!$B$7,"Distinguished Learner",IF(D140&gt;=Settings!$B$6,"Proficient Learner",IF(D140&gt;=Settings!$B$5,"Developing Learner","Beginning Learner"))))</f>
        <v/>
      </c>
      <c r="G140" s="16">
        <f>IF(AND(Roster!$B140&lt;&gt;"",COUNT('Post-Test Entry'!$C140:$AQ140)&gt;0),'Post-Test Entry'!$AS140,"")</f>
        <v/>
      </c>
      <c r="H140" s="37">
        <f>IFERROR(G140/Settings!$B$8,"")</f>
        <v/>
      </c>
      <c r="I140" s="31">
        <f>IF(G140="","",IF(G140&gt;=Settings!$B$7,"Distinguished Learner",IF(G140&gt;=Settings!$B$6,"Proficient Learner",IF(G140&gt;=Settings!$B$5,"Developing Learner","Beginning Learner"))))</f>
        <v/>
      </c>
      <c r="J140" s="16">
        <f>IF(OR(D140="",G140=""),"",G140-D140)</f>
        <v/>
      </c>
      <c r="K140" s="37">
        <f>IFERROR(IF(OR(J140="",J140&lt;=0),"",(G140-D140)/(Settings!$B$8-D140)),"")</f>
        <v/>
      </c>
      <c r="L140" s="38">
        <f>IFERROR(IF(J140="","",(G140-D140)/(Settings!$B$17*SQRT(2))),"")</f>
        <v/>
      </c>
      <c r="M140" s="30">
        <f>IF(L140="","",IF(ABS(L140)&gt;=1.96,"Yes","No"))</f>
        <v/>
      </c>
      <c r="N140" s="30">
        <f>IF(J140="","",IF(J140&gt;=Settings!$B$15,"Yes","No"))</f>
        <v/>
      </c>
      <c r="O140" s="37">
        <f>IFERROR(IF($D140="","",SUMIF('Pre-Test Entry'!$C$3:$AQ$3,Settings!$A$28,'Pre-Test Entry'!$C140:$AQ140)/Settings!$C$28),"")</f>
        <v/>
      </c>
      <c r="P140" s="37">
        <f>IFERROR(IF($D140="","",SUMIF('Pre-Test Entry'!$C$3:$AQ$3,Settings!$A$29,'Pre-Test Entry'!$C140:$AQ140)/Settings!$C$29),"")</f>
        <v/>
      </c>
      <c r="Q140" s="37">
        <f>IFERROR(IF($D140="","",SUMIF('Pre-Test Entry'!$C$3:$AQ$3,Settings!$A$30,'Pre-Test Entry'!$C140:$AQ140)/Settings!$C$30),"")</f>
        <v/>
      </c>
      <c r="R140" s="37">
        <f>IFERROR(IF($D140="","",SUMIF('Pre-Test Entry'!$C$3:$AQ$3,Settings!$A$31,'Pre-Test Entry'!$C140:$AQ140)/Settings!$C$31),"")</f>
        <v/>
      </c>
      <c r="S140" s="37">
        <f>IFERROR(IF($D140="","",SUMIF('Pre-Test Entry'!$C$3:$AQ$3,Settings!$A$32,'Pre-Test Entry'!$C140:$AQ140)/Settings!$C$32),"")</f>
        <v/>
      </c>
      <c r="T140" s="37">
        <f>IFERROR(IF($D140="","",SUMIF('Pre-Test Entry'!$C$3:$AQ$3,Settings!$A$33,'Pre-Test Entry'!$C140:$AQ140)/Settings!$C$33),"")</f>
        <v/>
      </c>
      <c r="U140" s="37">
        <f>IFERROR(IF($D140="","",SUMIF('Pre-Test Entry'!$C$3:$AQ$3,Settings!$A$34,'Pre-Test Entry'!$C140:$AQ140)/Settings!$C$34),"")</f>
        <v/>
      </c>
      <c r="V140" s="37">
        <f>IFERROR(IF($G140="","",SUMIF('Post-Test Entry'!$C$3:$AQ$3,Settings!$A$28,'Post-Test Entry'!$C140:$AQ140)/Settings!$C$28),"")</f>
        <v/>
      </c>
      <c r="W140" s="37">
        <f>IFERROR(IF($G140="","",SUMIF('Post-Test Entry'!$C$3:$AQ$3,Settings!$A$29,'Post-Test Entry'!$C140:$AQ140)/Settings!$C$29),"")</f>
        <v/>
      </c>
      <c r="X140" s="37">
        <f>IFERROR(IF($G140="","",SUMIF('Post-Test Entry'!$C$3:$AQ$3,Settings!$A$30,'Post-Test Entry'!$C140:$AQ140)/Settings!$C$30),"")</f>
        <v/>
      </c>
      <c r="Y140" s="37">
        <f>IFERROR(IF($G140="","",SUMIF('Post-Test Entry'!$C$3:$AQ$3,Settings!$A$31,'Post-Test Entry'!$C140:$AQ140)/Settings!$C$31),"")</f>
        <v/>
      </c>
      <c r="Z140" s="37">
        <f>IFERROR(IF($G140="","",SUMIF('Post-Test Entry'!$C$3:$AQ$3,Settings!$A$32,'Post-Test Entry'!$C140:$AQ140)/Settings!$C$32),"")</f>
        <v/>
      </c>
      <c r="AA140" s="37">
        <f>IFERROR(IF($G140="","",SUMIF('Post-Test Entry'!$C$3:$AQ$3,Settings!$A$33,'Post-Test Entry'!$C140:$AQ140)/Settings!$C$33),"")</f>
        <v/>
      </c>
      <c r="AB140" s="37">
        <f>IFERROR(IF($G140="","",SUMIF('Post-Test Entry'!$C$3:$AQ$3,Settings!$A$34,'Post-Test Entry'!$C140:$AQ140)/Settings!$C$34),"")</f>
        <v/>
      </c>
      <c r="AC140" s="37">
        <f>IF(OR(O140="",V140=""),"",V140-O140)</f>
        <v/>
      </c>
      <c r="AD140" s="37">
        <f>IF(OR(P140="",W140=""),"",W140-P140)</f>
        <v/>
      </c>
      <c r="AE140" s="37">
        <f>IF(OR(Q140="",X140=""),"",X140-Q140)</f>
        <v/>
      </c>
      <c r="AF140" s="37">
        <f>IF(OR(R140="",Y140=""),"",Y140-R140)</f>
        <v/>
      </c>
      <c r="AG140" s="37">
        <f>IF(OR(S140="",Z140=""),"",Z140-S140)</f>
        <v/>
      </c>
      <c r="AH140" s="37">
        <f>IF(OR(T140="",AA140=""),"",AA140-T140)</f>
        <v/>
      </c>
      <c r="AI140" s="37">
        <f>IF(OR(U140="",AB140=""),"",AB140-U140)</f>
        <v/>
      </c>
      <c r="AJ140" s="30">
        <f>IFERROR(IF($G140&lt;&gt;"",INDEX($V$4:$AB$4,MATCH(MIN($V140:$AB140),$V140:$AB140,0)),IF($D140&lt;&gt;"",INDEX($O$4:$U$4,MATCH(MIN($O140:$U140),$O140:$U140,0)),"")),"")</f>
        <v/>
      </c>
      <c r="AK140" s="30">
        <f>IFERROR(IF($G140&lt;&gt;"",INDEX($V$4:$AB$4,MATCH(SMALL($V140:$AB140,2),$V140:$AB140,0)),IF($D140&lt;&gt;"",INDEX($O$4:$U$4,MATCH(SMALL($O140:$U140,2),$O140:$U140,0)),"")),"")</f>
        <v/>
      </c>
      <c r="AL140" s="30">
        <f>IF(OR(G140="",Settings!$B$17=""),"",IF(OR(ABS(G140-Settings!$B$5)&lt;=Settings!$B$17,ABS(G140-Settings!$B$6)&lt;=Settings!$B$17,ABS(G140-Settings!$B$7)&lt;=Settings!$B$17),"NEAR CUT",""))</f>
        <v/>
      </c>
      <c r="AM140" s="31">
        <f>IF('Post-Test Entry'!$AR140&lt;&gt;"","Post essay: code "&amp;'Post-Test Entry'!$AR140,IF('Pre-Test Entry'!$AR140&lt;&gt;"","Pre essay: code "&amp;'Pre-Test Entry'!$AR140,""))</f>
        <v/>
      </c>
      <c r="AN140" s="39">
        <f>IFERROR(IF($AJ140="","",INDEX(Settings!$D$28:$D$34,MATCH($AJ140,Settings!$A$28:$A$34,0))),"")</f>
        <v/>
      </c>
      <c r="AP140">
        <f>IF(D140="","",D140^2)</f>
        <v/>
      </c>
      <c r="AQ140">
        <f>IF(G140="","",G140^2)</f>
        <v/>
      </c>
    </row>
    <row r="141">
      <c r="A141" s="30">
        <f>IF(Roster!$A141="","",Roster!$A141)</f>
        <v/>
      </c>
      <c r="B141" s="31">
        <f>IF(Roster!$B141&lt;&gt;"",Roster!$C141&amp;" "&amp;Roster!$B141,"")</f>
        <v/>
      </c>
      <c r="C141" s="30">
        <f>IF(Roster!$B141&lt;&gt;"",Roster!$D141,"")</f>
        <v/>
      </c>
      <c r="D141" s="16">
        <f>IF(AND(Roster!$B141&lt;&gt;"",COUNT('Pre-Test Entry'!$C141:$AQ141)&gt;0),'Pre-Test Entry'!$AS141,"")</f>
        <v/>
      </c>
      <c r="E141" s="37">
        <f>IFERROR(D141/Settings!$B$8,"")</f>
        <v/>
      </c>
      <c r="F141" s="31">
        <f>IF(D141="","",IF(D141&gt;=Settings!$B$7,"Distinguished Learner",IF(D141&gt;=Settings!$B$6,"Proficient Learner",IF(D141&gt;=Settings!$B$5,"Developing Learner","Beginning Learner"))))</f>
        <v/>
      </c>
      <c r="G141" s="16">
        <f>IF(AND(Roster!$B141&lt;&gt;"",COUNT('Post-Test Entry'!$C141:$AQ141)&gt;0),'Post-Test Entry'!$AS141,"")</f>
        <v/>
      </c>
      <c r="H141" s="37">
        <f>IFERROR(G141/Settings!$B$8,"")</f>
        <v/>
      </c>
      <c r="I141" s="31">
        <f>IF(G141="","",IF(G141&gt;=Settings!$B$7,"Distinguished Learner",IF(G141&gt;=Settings!$B$6,"Proficient Learner",IF(G141&gt;=Settings!$B$5,"Developing Learner","Beginning Learner"))))</f>
        <v/>
      </c>
      <c r="J141" s="16">
        <f>IF(OR(D141="",G141=""),"",G141-D141)</f>
        <v/>
      </c>
      <c r="K141" s="37">
        <f>IFERROR(IF(OR(J141="",J141&lt;=0),"",(G141-D141)/(Settings!$B$8-D141)),"")</f>
        <v/>
      </c>
      <c r="L141" s="38">
        <f>IFERROR(IF(J141="","",(G141-D141)/(Settings!$B$17*SQRT(2))),"")</f>
        <v/>
      </c>
      <c r="M141" s="30">
        <f>IF(L141="","",IF(ABS(L141)&gt;=1.96,"Yes","No"))</f>
        <v/>
      </c>
      <c r="N141" s="30">
        <f>IF(J141="","",IF(J141&gt;=Settings!$B$15,"Yes","No"))</f>
        <v/>
      </c>
      <c r="O141" s="37">
        <f>IFERROR(IF($D141="","",SUMIF('Pre-Test Entry'!$C$3:$AQ$3,Settings!$A$28,'Pre-Test Entry'!$C141:$AQ141)/Settings!$C$28),"")</f>
        <v/>
      </c>
      <c r="P141" s="37">
        <f>IFERROR(IF($D141="","",SUMIF('Pre-Test Entry'!$C$3:$AQ$3,Settings!$A$29,'Pre-Test Entry'!$C141:$AQ141)/Settings!$C$29),"")</f>
        <v/>
      </c>
      <c r="Q141" s="37">
        <f>IFERROR(IF($D141="","",SUMIF('Pre-Test Entry'!$C$3:$AQ$3,Settings!$A$30,'Pre-Test Entry'!$C141:$AQ141)/Settings!$C$30),"")</f>
        <v/>
      </c>
      <c r="R141" s="37">
        <f>IFERROR(IF($D141="","",SUMIF('Pre-Test Entry'!$C$3:$AQ$3,Settings!$A$31,'Pre-Test Entry'!$C141:$AQ141)/Settings!$C$31),"")</f>
        <v/>
      </c>
      <c r="S141" s="37">
        <f>IFERROR(IF($D141="","",SUMIF('Pre-Test Entry'!$C$3:$AQ$3,Settings!$A$32,'Pre-Test Entry'!$C141:$AQ141)/Settings!$C$32),"")</f>
        <v/>
      </c>
      <c r="T141" s="37">
        <f>IFERROR(IF($D141="","",SUMIF('Pre-Test Entry'!$C$3:$AQ$3,Settings!$A$33,'Pre-Test Entry'!$C141:$AQ141)/Settings!$C$33),"")</f>
        <v/>
      </c>
      <c r="U141" s="37">
        <f>IFERROR(IF($D141="","",SUMIF('Pre-Test Entry'!$C$3:$AQ$3,Settings!$A$34,'Pre-Test Entry'!$C141:$AQ141)/Settings!$C$34),"")</f>
        <v/>
      </c>
      <c r="V141" s="37">
        <f>IFERROR(IF($G141="","",SUMIF('Post-Test Entry'!$C$3:$AQ$3,Settings!$A$28,'Post-Test Entry'!$C141:$AQ141)/Settings!$C$28),"")</f>
        <v/>
      </c>
      <c r="W141" s="37">
        <f>IFERROR(IF($G141="","",SUMIF('Post-Test Entry'!$C$3:$AQ$3,Settings!$A$29,'Post-Test Entry'!$C141:$AQ141)/Settings!$C$29),"")</f>
        <v/>
      </c>
      <c r="X141" s="37">
        <f>IFERROR(IF($G141="","",SUMIF('Post-Test Entry'!$C$3:$AQ$3,Settings!$A$30,'Post-Test Entry'!$C141:$AQ141)/Settings!$C$30),"")</f>
        <v/>
      </c>
      <c r="Y141" s="37">
        <f>IFERROR(IF($G141="","",SUMIF('Post-Test Entry'!$C$3:$AQ$3,Settings!$A$31,'Post-Test Entry'!$C141:$AQ141)/Settings!$C$31),"")</f>
        <v/>
      </c>
      <c r="Z141" s="37">
        <f>IFERROR(IF($G141="","",SUMIF('Post-Test Entry'!$C$3:$AQ$3,Settings!$A$32,'Post-Test Entry'!$C141:$AQ141)/Settings!$C$32),"")</f>
        <v/>
      </c>
      <c r="AA141" s="37">
        <f>IFERROR(IF($G141="","",SUMIF('Post-Test Entry'!$C$3:$AQ$3,Settings!$A$33,'Post-Test Entry'!$C141:$AQ141)/Settings!$C$33),"")</f>
        <v/>
      </c>
      <c r="AB141" s="37">
        <f>IFERROR(IF($G141="","",SUMIF('Post-Test Entry'!$C$3:$AQ$3,Settings!$A$34,'Post-Test Entry'!$C141:$AQ141)/Settings!$C$34),"")</f>
        <v/>
      </c>
      <c r="AC141" s="37">
        <f>IF(OR(O141="",V141=""),"",V141-O141)</f>
        <v/>
      </c>
      <c r="AD141" s="37">
        <f>IF(OR(P141="",W141=""),"",W141-P141)</f>
        <v/>
      </c>
      <c r="AE141" s="37">
        <f>IF(OR(Q141="",X141=""),"",X141-Q141)</f>
        <v/>
      </c>
      <c r="AF141" s="37">
        <f>IF(OR(R141="",Y141=""),"",Y141-R141)</f>
        <v/>
      </c>
      <c r="AG141" s="37">
        <f>IF(OR(S141="",Z141=""),"",Z141-S141)</f>
        <v/>
      </c>
      <c r="AH141" s="37">
        <f>IF(OR(T141="",AA141=""),"",AA141-T141)</f>
        <v/>
      </c>
      <c r="AI141" s="37">
        <f>IF(OR(U141="",AB141=""),"",AB141-U141)</f>
        <v/>
      </c>
      <c r="AJ141" s="30">
        <f>IFERROR(IF($G141&lt;&gt;"",INDEX($V$4:$AB$4,MATCH(MIN($V141:$AB141),$V141:$AB141,0)),IF($D141&lt;&gt;"",INDEX($O$4:$U$4,MATCH(MIN($O141:$U141),$O141:$U141,0)),"")),"")</f>
        <v/>
      </c>
      <c r="AK141" s="30">
        <f>IFERROR(IF($G141&lt;&gt;"",INDEX($V$4:$AB$4,MATCH(SMALL($V141:$AB141,2),$V141:$AB141,0)),IF($D141&lt;&gt;"",INDEX($O$4:$U$4,MATCH(SMALL($O141:$U141,2),$O141:$U141,0)),"")),"")</f>
        <v/>
      </c>
      <c r="AL141" s="30">
        <f>IF(OR(G141="",Settings!$B$17=""),"",IF(OR(ABS(G141-Settings!$B$5)&lt;=Settings!$B$17,ABS(G141-Settings!$B$6)&lt;=Settings!$B$17,ABS(G141-Settings!$B$7)&lt;=Settings!$B$17),"NEAR CUT",""))</f>
        <v/>
      </c>
      <c r="AM141" s="31">
        <f>IF('Post-Test Entry'!$AR141&lt;&gt;"","Post essay: code "&amp;'Post-Test Entry'!$AR141,IF('Pre-Test Entry'!$AR141&lt;&gt;"","Pre essay: code "&amp;'Pre-Test Entry'!$AR141,""))</f>
        <v/>
      </c>
      <c r="AN141" s="39">
        <f>IFERROR(IF($AJ141="","",INDEX(Settings!$D$28:$D$34,MATCH($AJ141,Settings!$A$28:$A$34,0))),"")</f>
        <v/>
      </c>
      <c r="AP141">
        <f>IF(D141="","",D141^2)</f>
        <v/>
      </c>
      <c r="AQ141">
        <f>IF(G141="","",G141^2)</f>
        <v/>
      </c>
    </row>
    <row r="142">
      <c r="A142" s="30">
        <f>IF(Roster!$A142="","",Roster!$A142)</f>
        <v/>
      </c>
      <c r="B142" s="31">
        <f>IF(Roster!$B142&lt;&gt;"",Roster!$C142&amp;" "&amp;Roster!$B142,"")</f>
        <v/>
      </c>
      <c r="C142" s="30">
        <f>IF(Roster!$B142&lt;&gt;"",Roster!$D142,"")</f>
        <v/>
      </c>
      <c r="D142" s="16">
        <f>IF(AND(Roster!$B142&lt;&gt;"",COUNT('Pre-Test Entry'!$C142:$AQ142)&gt;0),'Pre-Test Entry'!$AS142,"")</f>
        <v/>
      </c>
      <c r="E142" s="37">
        <f>IFERROR(D142/Settings!$B$8,"")</f>
        <v/>
      </c>
      <c r="F142" s="31">
        <f>IF(D142="","",IF(D142&gt;=Settings!$B$7,"Distinguished Learner",IF(D142&gt;=Settings!$B$6,"Proficient Learner",IF(D142&gt;=Settings!$B$5,"Developing Learner","Beginning Learner"))))</f>
        <v/>
      </c>
      <c r="G142" s="16">
        <f>IF(AND(Roster!$B142&lt;&gt;"",COUNT('Post-Test Entry'!$C142:$AQ142)&gt;0),'Post-Test Entry'!$AS142,"")</f>
        <v/>
      </c>
      <c r="H142" s="37">
        <f>IFERROR(G142/Settings!$B$8,"")</f>
        <v/>
      </c>
      <c r="I142" s="31">
        <f>IF(G142="","",IF(G142&gt;=Settings!$B$7,"Distinguished Learner",IF(G142&gt;=Settings!$B$6,"Proficient Learner",IF(G142&gt;=Settings!$B$5,"Developing Learner","Beginning Learner"))))</f>
        <v/>
      </c>
      <c r="J142" s="16">
        <f>IF(OR(D142="",G142=""),"",G142-D142)</f>
        <v/>
      </c>
      <c r="K142" s="37">
        <f>IFERROR(IF(OR(J142="",J142&lt;=0),"",(G142-D142)/(Settings!$B$8-D142)),"")</f>
        <v/>
      </c>
      <c r="L142" s="38">
        <f>IFERROR(IF(J142="","",(G142-D142)/(Settings!$B$17*SQRT(2))),"")</f>
        <v/>
      </c>
      <c r="M142" s="30">
        <f>IF(L142="","",IF(ABS(L142)&gt;=1.96,"Yes","No"))</f>
        <v/>
      </c>
      <c r="N142" s="30">
        <f>IF(J142="","",IF(J142&gt;=Settings!$B$15,"Yes","No"))</f>
        <v/>
      </c>
      <c r="O142" s="37">
        <f>IFERROR(IF($D142="","",SUMIF('Pre-Test Entry'!$C$3:$AQ$3,Settings!$A$28,'Pre-Test Entry'!$C142:$AQ142)/Settings!$C$28),"")</f>
        <v/>
      </c>
      <c r="P142" s="37">
        <f>IFERROR(IF($D142="","",SUMIF('Pre-Test Entry'!$C$3:$AQ$3,Settings!$A$29,'Pre-Test Entry'!$C142:$AQ142)/Settings!$C$29),"")</f>
        <v/>
      </c>
      <c r="Q142" s="37">
        <f>IFERROR(IF($D142="","",SUMIF('Pre-Test Entry'!$C$3:$AQ$3,Settings!$A$30,'Pre-Test Entry'!$C142:$AQ142)/Settings!$C$30),"")</f>
        <v/>
      </c>
      <c r="R142" s="37">
        <f>IFERROR(IF($D142="","",SUMIF('Pre-Test Entry'!$C$3:$AQ$3,Settings!$A$31,'Pre-Test Entry'!$C142:$AQ142)/Settings!$C$31),"")</f>
        <v/>
      </c>
      <c r="S142" s="37">
        <f>IFERROR(IF($D142="","",SUMIF('Pre-Test Entry'!$C$3:$AQ$3,Settings!$A$32,'Pre-Test Entry'!$C142:$AQ142)/Settings!$C$32),"")</f>
        <v/>
      </c>
      <c r="T142" s="37">
        <f>IFERROR(IF($D142="","",SUMIF('Pre-Test Entry'!$C$3:$AQ$3,Settings!$A$33,'Pre-Test Entry'!$C142:$AQ142)/Settings!$C$33),"")</f>
        <v/>
      </c>
      <c r="U142" s="37">
        <f>IFERROR(IF($D142="","",SUMIF('Pre-Test Entry'!$C$3:$AQ$3,Settings!$A$34,'Pre-Test Entry'!$C142:$AQ142)/Settings!$C$34),"")</f>
        <v/>
      </c>
      <c r="V142" s="37">
        <f>IFERROR(IF($G142="","",SUMIF('Post-Test Entry'!$C$3:$AQ$3,Settings!$A$28,'Post-Test Entry'!$C142:$AQ142)/Settings!$C$28),"")</f>
        <v/>
      </c>
      <c r="W142" s="37">
        <f>IFERROR(IF($G142="","",SUMIF('Post-Test Entry'!$C$3:$AQ$3,Settings!$A$29,'Post-Test Entry'!$C142:$AQ142)/Settings!$C$29),"")</f>
        <v/>
      </c>
      <c r="X142" s="37">
        <f>IFERROR(IF($G142="","",SUMIF('Post-Test Entry'!$C$3:$AQ$3,Settings!$A$30,'Post-Test Entry'!$C142:$AQ142)/Settings!$C$30),"")</f>
        <v/>
      </c>
      <c r="Y142" s="37">
        <f>IFERROR(IF($G142="","",SUMIF('Post-Test Entry'!$C$3:$AQ$3,Settings!$A$31,'Post-Test Entry'!$C142:$AQ142)/Settings!$C$31),"")</f>
        <v/>
      </c>
      <c r="Z142" s="37">
        <f>IFERROR(IF($G142="","",SUMIF('Post-Test Entry'!$C$3:$AQ$3,Settings!$A$32,'Post-Test Entry'!$C142:$AQ142)/Settings!$C$32),"")</f>
        <v/>
      </c>
      <c r="AA142" s="37">
        <f>IFERROR(IF($G142="","",SUMIF('Post-Test Entry'!$C$3:$AQ$3,Settings!$A$33,'Post-Test Entry'!$C142:$AQ142)/Settings!$C$33),"")</f>
        <v/>
      </c>
      <c r="AB142" s="37">
        <f>IFERROR(IF($G142="","",SUMIF('Post-Test Entry'!$C$3:$AQ$3,Settings!$A$34,'Post-Test Entry'!$C142:$AQ142)/Settings!$C$34),"")</f>
        <v/>
      </c>
      <c r="AC142" s="37">
        <f>IF(OR(O142="",V142=""),"",V142-O142)</f>
        <v/>
      </c>
      <c r="AD142" s="37">
        <f>IF(OR(P142="",W142=""),"",W142-P142)</f>
        <v/>
      </c>
      <c r="AE142" s="37">
        <f>IF(OR(Q142="",X142=""),"",X142-Q142)</f>
        <v/>
      </c>
      <c r="AF142" s="37">
        <f>IF(OR(R142="",Y142=""),"",Y142-R142)</f>
        <v/>
      </c>
      <c r="AG142" s="37">
        <f>IF(OR(S142="",Z142=""),"",Z142-S142)</f>
        <v/>
      </c>
      <c r="AH142" s="37">
        <f>IF(OR(T142="",AA142=""),"",AA142-T142)</f>
        <v/>
      </c>
      <c r="AI142" s="37">
        <f>IF(OR(U142="",AB142=""),"",AB142-U142)</f>
        <v/>
      </c>
      <c r="AJ142" s="30">
        <f>IFERROR(IF($G142&lt;&gt;"",INDEX($V$4:$AB$4,MATCH(MIN($V142:$AB142),$V142:$AB142,0)),IF($D142&lt;&gt;"",INDEX($O$4:$U$4,MATCH(MIN($O142:$U142),$O142:$U142,0)),"")),"")</f>
        <v/>
      </c>
      <c r="AK142" s="30">
        <f>IFERROR(IF($G142&lt;&gt;"",INDEX($V$4:$AB$4,MATCH(SMALL($V142:$AB142,2),$V142:$AB142,0)),IF($D142&lt;&gt;"",INDEX($O$4:$U$4,MATCH(SMALL($O142:$U142,2),$O142:$U142,0)),"")),"")</f>
        <v/>
      </c>
      <c r="AL142" s="30">
        <f>IF(OR(G142="",Settings!$B$17=""),"",IF(OR(ABS(G142-Settings!$B$5)&lt;=Settings!$B$17,ABS(G142-Settings!$B$6)&lt;=Settings!$B$17,ABS(G142-Settings!$B$7)&lt;=Settings!$B$17),"NEAR CUT",""))</f>
        <v/>
      </c>
      <c r="AM142" s="31">
        <f>IF('Post-Test Entry'!$AR142&lt;&gt;"","Post essay: code "&amp;'Post-Test Entry'!$AR142,IF('Pre-Test Entry'!$AR142&lt;&gt;"","Pre essay: code "&amp;'Pre-Test Entry'!$AR142,""))</f>
        <v/>
      </c>
      <c r="AN142" s="39">
        <f>IFERROR(IF($AJ142="","",INDEX(Settings!$D$28:$D$34,MATCH($AJ142,Settings!$A$28:$A$34,0))),"")</f>
        <v/>
      </c>
      <c r="AP142">
        <f>IF(D142="","",D142^2)</f>
        <v/>
      </c>
      <c r="AQ142">
        <f>IF(G142="","",G142^2)</f>
        <v/>
      </c>
    </row>
    <row r="143">
      <c r="A143" s="30">
        <f>IF(Roster!$A143="","",Roster!$A143)</f>
        <v/>
      </c>
      <c r="B143" s="31">
        <f>IF(Roster!$B143&lt;&gt;"",Roster!$C143&amp;" "&amp;Roster!$B143,"")</f>
        <v/>
      </c>
      <c r="C143" s="30">
        <f>IF(Roster!$B143&lt;&gt;"",Roster!$D143,"")</f>
        <v/>
      </c>
      <c r="D143" s="16">
        <f>IF(AND(Roster!$B143&lt;&gt;"",COUNT('Pre-Test Entry'!$C143:$AQ143)&gt;0),'Pre-Test Entry'!$AS143,"")</f>
        <v/>
      </c>
      <c r="E143" s="37">
        <f>IFERROR(D143/Settings!$B$8,"")</f>
        <v/>
      </c>
      <c r="F143" s="31">
        <f>IF(D143="","",IF(D143&gt;=Settings!$B$7,"Distinguished Learner",IF(D143&gt;=Settings!$B$6,"Proficient Learner",IF(D143&gt;=Settings!$B$5,"Developing Learner","Beginning Learner"))))</f>
        <v/>
      </c>
      <c r="G143" s="16">
        <f>IF(AND(Roster!$B143&lt;&gt;"",COUNT('Post-Test Entry'!$C143:$AQ143)&gt;0),'Post-Test Entry'!$AS143,"")</f>
        <v/>
      </c>
      <c r="H143" s="37">
        <f>IFERROR(G143/Settings!$B$8,"")</f>
        <v/>
      </c>
      <c r="I143" s="31">
        <f>IF(G143="","",IF(G143&gt;=Settings!$B$7,"Distinguished Learner",IF(G143&gt;=Settings!$B$6,"Proficient Learner",IF(G143&gt;=Settings!$B$5,"Developing Learner","Beginning Learner"))))</f>
        <v/>
      </c>
      <c r="J143" s="16">
        <f>IF(OR(D143="",G143=""),"",G143-D143)</f>
        <v/>
      </c>
      <c r="K143" s="37">
        <f>IFERROR(IF(OR(J143="",J143&lt;=0),"",(G143-D143)/(Settings!$B$8-D143)),"")</f>
        <v/>
      </c>
      <c r="L143" s="38">
        <f>IFERROR(IF(J143="","",(G143-D143)/(Settings!$B$17*SQRT(2))),"")</f>
        <v/>
      </c>
      <c r="M143" s="30">
        <f>IF(L143="","",IF(ABS(L143)&gt;=1.96,"Yes","No"))</f>
        <v/>
      </c>
      <c r="N143" s="30">
        <f>IF(J143="","",IF(J143&gt;=Settings!$B$15,"Yes","No"))</f>
        <v/>
      </c>
      <c r="O143" s="37">
        <f>IFERROR(IF($D143="","",SUMIF('Pre-Test Entry'!$C$3:$AQ$3,Settings!$A$28,'Pre-Test Entry'!$C143:$AQ143)/Settings!$C$28),"")</f>
        <v/>
      </c>
      <c r="P143" s="37">
        <f>IFERROR(IF($D143="","",SUMIF('Pre-Test Entry'!$C$3:$AQ$3,Settings!$A$29,'Pre-Test Entry'!$C143:$AQ143)/Settings!$C$29),"")</f>
        <v/>
      </c>
      <c r="Q143" s="37">
        <f>IFERROR(IF($D143="","",SUMIF('Pre-Test Entry'!$C$3:$AQ$3,Settings!$A$30,'Pre-Test Entry'!$C143:$AQ143)/Settings!$C$30),"")</f>
        <v/>
      </c>
      <c r="R143" s="37">
        <f>IFERROR(IF($D143="","",SUMIF('Pre-Test Entry'!$C$3:$AQ$3,Settings!$A$31,'Pre-Test Entry'!$C143:$AQ143)/Settings!$C$31),"")</f>
        <v/>
      </c>
      <c r="S143" s="37">
        <f>IFERROR(IF($D143="","",SUMIF('Pre-Test Entry'!$C$3:$AQ$3,Settings!$A$32,'Pre-Test Entry'!$C143:$AQ143)/Settings!$C$32),"")</f>
        <v/>
      </c>
      <c r="T143" s="37">
        <f>IFERROR(IF($D143="","",SUMIF('Pre-Test Entry'!$C$3:$AQ$3,Settings!$A$33,'Pre-Test Entry'!$C143:$AQ143)/Settings!$C$33),"")</f>
        <v/>
      </c>
      <c r="U143" s="37">
        <f>IFERROR(IF($D143="","",SUMIF('Pre-Test Entry'!$C$3:$AQ$3,Settings!$A$34,'Pre-Test Entry'!$C143:$AQ143)/Settings!$C$34),"")</f>
        <v/>
      </c>
      <c r="V143" s="37">
        <f>IFERROR(IF($G143="","",SUMIF('Post-Test Entry'!$C$3:$AQ$3,Settings!$A$28,'Post-Test Entry'!$C143:$AQ143)/Settings!$C$28),"")</f>
        <v/>
      </c>
      <c r="W143" s="37">
        <f>IFERROR(IF($G143="","",SUMIF('Post-Test Entry'!$C$3:$AQ$3,Settings!$A$29,'Post-Test Entry'!$C143:$AQ143)/Settings!$C$29),"")</f>
        <v/>
      </c>
      <c r="X143" s="37">
        <f>IFERROR(IF($G143="","",SUMIF('Post-Test Entry'!$C$3:$AQ$3,Settings!$A$30,'Post-Test Entry'!$C143:$AQ143)/Settings!$C$30),"")</f>
        <v/>
      </c>
      <c r="Y143" s="37">
        <f>IFERROR(IF($G143="","",SUMIF('Post-Test Entry'!$C$3:$AQ$3,Settings!$A$31,'Post-Test Entry'!$C143:$AQ143)/Settings!$C$31),"")</f>
        <v/>
      </c>
      <c r="Z143" s="37">
        <f>IFERROR(IF($G143="","",SUMIF('Post-Test Entry'!$C$3:$AQ$3,Settings!$A$32,'Post-Test Entry'!$C143:$AQ143)/Settings!$C$32),"")</f>
        <v/>
      </c>
      <c r="AA143" s="37">
        <f>IFERROR(IF($G143="","",SUMIF('Post-Test Entry'!$C$3:$AQ$3,Settings!$A$33,'Post-Test Entry'!$C143:$AQ143)/Settings!$C$33),"")</f>
        <v/>
      </c>
      <c r="AB143" s="37">
        <f>IFERROR(IF($G143="","",SUMIF('Post-Test Entry'!$C$3:$AQ$3,Settings!$A$34,'Post-Test Entry'!$C143:$AQ143)/Settings!$C$34),"")</f>
        <v/>
      </c>
      <c r="AC143" s="37">
        <f>IF(OR(O143="",V143=""),"",V143-O143)</f>
        <v/>
      </c>
      <c r="AD143" s="37">
        <f>IF(OR(P143="",W143=""),"",W143-P143)</f>
        <v/>
      </c>
      <c r="AE143" s="37">
        <f>IF(OR(Q143="",X143=""),"",X143-Q143)</f>
        <v/>
      </c>
      <c r="AF143" s="37">
        <f>IF(OR(R143="",Y143=""),"",Y143-R143)</f>
        <v/>
      </c>
      <c r="AG143" s="37">
        <f>IF(OR(S143="",Z143=""),"",Z143-S143)</f>
        <v/>
      </c>
      <c r="AH143" s="37">
        <f>IF(OR(T143="",AA143=""),"",AA143-T143)</f>
        <v/>
      </c>
      <c r="AI143" s="37">
        <f>IF(OR(U143="",AB143=""),"",AB143-U143)</f>
        <v/>
      </c>
      <c r="AJ143" s="30">
        <f>IFERROR(IF($G143&lt;&gt;"",INDEX($V$4:$AB$4,MATCH(MIN($V143:$AB143),$V143:$AB143,0)),IF($D143&lt;&gt;"",INDEX($O$4:$U$4,MATCH(MIN($O143:$U143),$O143:$U143,0)),"")),"")</f>
        <v/>
      </c>
      <c r="AK143" s="30">
        <f>IFERROR(IF($G143&lt;&gt;"",INDEX($V$4:$AB$4,MATCH(SMALL($V143:$AB143,2),$V143:$AB143,0)),IF($D143&lt;&gt;"",INDEX($O$4:$U$4,MATCH(SMALL($O143:$U143,2),$O143:$U143,0)),"")),"")</f>
        <v/>
      </c>
      <c r="AL143" s="30">
        <f>IF(OR(G143="",Settings!$B$17=""),"",IF(OR(ABS(G143-Settings!$B$5)&lt;=Settings!$B$17,ABS(G143-Settings!$B$6)&lt;=Settings!$B$17,ABS(G143-Settings!$B$7)&lt;=Settings!$B$17),"NEAR CUT",""))</f>
        <v/>
      </c>
      <c r="AM143" s="31">
        <f>IF('Post-Test Entry'!$AR143&lt;&gt;"","Post essay: code "&amp;'Post-Test Entry'!$AR143,IF('Pre-Test Entry'!$AR143&lt;&gt;"","Pre essay: code "&amp;'Pre-Test Entry'!$AR143,""))</f>
        <v/>
      </c>
      <c r="AN143" s="39">
        <f>IFERROR(IF($AJ143="","",INDEX(Settings!$D$28:$D$34,MATCH($AJ143,Settings!$A$28:$A$34,0))),"")</f>
        <v/>
      </c>
      <c r="AP143">
        <f>IF(D143="","",D143^2)</f>
        <v/>
      </c>
      <c r="AQ143">
        <f>IF(G143="","",G143^2)</f>
        <v/>
      </c>
    </row>
    <row r="144">
      <c r="A144" s="30">
        <f>IF(Roster!$A144="","",Roster!$A144)</f>
        <v/>
      </c>
      <c r="B144" s="31">
        <f>IF(Roster!$B144&lt;&gt;"",Roster!$C144&amp;" "&amp;Roster!$B144,"")</f>
        <v/>
      </c>
      <c r="C144" s="30">
        <f>IF(Roster!$B144&lt;&gt;"",Roster!$D144,"")</f>
        <v/>
      </c>
      <c r="D144" s="16">
        <f>IF(AND(Roster!$B144&lt;&gt;"",COUNT('Pre-Test Entry'!$C144:$AQ144)&gt;0),'Pre-Test Entry'!$AS144,"")</f>
        <v/>
      </c>
      <c r="E144" s="37">
        <f>IFERROR(D144/Settings!$B$8,"")</f>
        <v/>
      </c>
      <c r="F144" s="31">
        <f>IF(D144="","",IF(D144&gt;=Settings!$B$7,"Distinguished Learner",IF(D144&gt;=Settings!$B$6,"Proficient Learner",IF(D144&gt;=Settings!$B$5,"Developing Learner","Beginning Learner"))))</f>
        <v/>
      </c>
      <c r="G144" s="16">
        <f>IF(AND(Roster!$B144&lt;&gt;"",COUNT('Post-Test Entry'!$C144:$AQ144)&gt;0),'Post-Test Entry'!$AS144,"")</f>
        <v/>
      </c>
      <c r="H144" s="37">
        <f>IFERROR(G144/Settings!$B$8,"")</f>
        <v/>
      </c>
      <c r="I144" s="31">
        <f>IF(G144="","",IF(G144&gt;=Settings!$B$7,"Distinguished Learner",IF(G144&gt;=Settings!$B$6,"Proficient Learner",IF(G144&gt;=Settings!$B$5,"Developing Learner","Beginning Learner"))))</f>
        <v/>
      </c>
      <c r="J144" s="16">
        <f>IF(OR(D144="",G144=""),"",G144-D144)</f>
        <v/>
      </c>
      <c r="K144" s="37">
        <f>IFERROR(IF(OR(J144="",J144&lt;=0),"",(G144-D144)/(Settings!$B$8-D144)),"")</f>
        <v/>
      </c>
      <c r="L144" s="38">
        <f>IFERROR(IF(J144="","",(G144-D144)/(Settings!$B$17*SQRT(2))),"")</f>
        <v/>
      </c>
      <c r="M144" s="30">
        <f>IF(L144="","",IF(ABS(L144)&gt;=1.96,"Yes","No"))</f>
        <v/>
      </c>
      <c r="N144" s="30">
        <f>IF(J144="","",IF(J144&gt;=Settings!$B$15,"Yes","No"))</f>
        <v/>
      </c>
      <c r="O144" s="37">
        <f>IFERROR(IF($D144="","",SUMIF('Pre-Test Entry'!$C$3:$AQ$3,Settings!$A$28,'Pre-Test Entry'!$C144:$AQ144)/Settings!$C$28),"")</f>
        <v/>
      </c>
      <c r="P144" s="37">
        <f>IFERROR(IF($D144="","",SUMIF('Pre-Test Entry'!$C$3:$AQ$3,Settings!$A$29,'Pre-Test Entry'!$C144:$AQ144)/Settings!$C$29),"")</f>
        <v/>
      </c>
      <c r="Q144" s="37">
        <f>IFERROR(IF($D144="","",SUMIF('Pre-Test Entry'!$C$3:$AQ$3,Settings!$A$30,'Pre-Test Entry'!$C144:$AQ144)/Settings!$C$30),"")</f>
        <v/>
      </c>
      <c r="R144" s="37">
        <f>IFERROR(IF($D144="","",SUMIF('Pre-Test Entry'!$C$3:$AQ$3,Settings!$A$31,'Pre-Test Entry'!$C144:$AQ144)/Settings!$C$31),"")</f>
        <v/>
      </c>
      <c r="S144" s="37">
        <f>IFERROR(IF($D144="","",SUMIF('Pre-Test Entry'!$C$3:$AQ$3,Settings!$A$32,'Pre-Test Entry'!$C144:$AQ144)/Settings!$C$32),"")</f>
        <v/>
      </c>
      <c r="T144" s="37">
        <f>IFERROR(IF($D144="","",SUMIF('Pre-Test Entry'!$C$3:$AQ$3,Settings!$A$33,'Pre-Test Entry'!$C144:$AQ144)/Settings!$C$33),"")</f>
        <v/>
      </c>
      <c r="U144" s="37">
        <f>IFERROR(IF($D144="","",SUMIF('Pre-Test Entry'!$C$3:$AQ$3,Settings!$A$34,'Pre-Test Entry'!$C144:$AQ144)/Settings!$C$34),"")</f>
        <v/>
      </c>
      <c r="V144" s="37">
        <f>IFERROR(IF($G144="","",SUMIF('Post-Test Entry'!$C$3:$AQ$3,Settings!$A$28,'Post-Test Entry'!$C144:$AQ144)/Settings!$C$28),"")</f>
        <v/>
      </c>
      <c r="W144" s="37">
        <f>IFERROR(IF($G144="","",SUMIF('Post-Test Entry'!$C$3:$AQ$3,Settings!$A$29,'Post-Test Entry'!$C144:$AQ144)/Settings!$C$29),"")</f>
        <v/>
      </c>
      <c r="X144" s="37">
        <f>IFERROR(IF($G144="","",SUMIF('Post-Test Entry'!$C$3:$AQ$3,Settings!$A$30,'Post-Test Entry'!$C144:$AQ144)/Settings!$C$30),"")</f>
        <v/>
      </c>
      <c r="Y144" s="37">
        <f>IFERROR(IF($G144="","",SUMIF('Post-Test Entry'!$C$3:$AQ$3,Settings!$A$31,'Post-Test Entry'!$C144:$AQ144)/Settings!$C$31),"")</f>
        <v/>
      </c>
      <c r="Z144" s="37">
        <f>IFERROR(IF($G144="","",SUMIF('Post-Test Entry'!$C$3:$AQ$3,Settings!$A$32,'Post-Test Entry'!$C144:$AQ144)/Settings!$C$32),"")</f>
        <v/>
      </c>
      <c r="AA144" s="37">
        <f>IFERROR(IF($G144="","",SUMIF('Post-Test Entry'!$C$3:$AQ$3,Settings!$A$33,'Post-Test Entry'!$C144:$AQ144)/Settings!$C$33),"")</f>
        <v/>
      </c>
      <c r="AB144" s="37">
        <f>IFERROR(IF($G144="","",SUMIF('Post-Test Entry'!$C$3:$AQ$3,Settings!$A$34,'Post-Test Entry'!$C144:$AQ144)/Settings!$C$34),"")</f>
        <v/>
      </c>
      <c r="AC144" s="37">
        <f>IF(OR(O144="",V144=""),"",V144-O144)</f>
        <v/>
      </c>
      <c r="AD144" s="37">
        <f>IF(OR(P144="",W144=""),"",W144-P144)</f>
        <v/>
      </c>
      <c r="AE144" s="37">
        <f>IF(OR(Q144="",X144=""),"",X144-Q144)</f>
        <v/>
      </c>
      <c r="AF144" s="37">
        <f>IF(OR(R144="",Y144=""),"",Y144-R144)</f>
        <v/>
      </c>
      <c r="AG144" s="37">
        <f>IF(OR(S144="",Z144=""),"",Z144-S144)</f>
        <v/>
      </c>
      <c r="AH144" s="37">
        <f>IF(OR(T144="",AA144=""),"",AA144-T144)</f>
        <v/>
      </c>
      <c r="AI144" s="37">
        <f>IF(OR(U144="",AB144=""),"",AB144-U144)</f>
        <v/>
      </c>
      <c r="AJ144" s="30">
        <f>IFERROR(IF($G144&lt;&gt;"",INDEX($V$4:$AB$4,MATCH(MIN($V144:$AB144),$V144:$AB144,0)),IF($D144&lt;&gt;"",INDEX($O$4:$U$4,MATCH(MIN($O144:$U144),$O144:$U144,0)),"")),"")</f>
        <v/>
      </c>
      <c r="AK144" s="30">
        <f>IFERROR(IF($G144&lt;&gt;"",INDEX($V$4:$AB$4,MATCH(SMALL($V144:$AB144,2),$V144:$AB144,0)),IF($D144&lt;&gt;"",INDEX($O$4:$U$4,MATCH(SMALL($O144:$U144,2),$O144:$U144,0)),"")),"")</f>
        <v/>
      </c>
      <c r="AL144" s="30">
        <f>IF(OR(G144="",Settings!$B$17=""),"",IF(OR(ABS(G144-Settings!$B$5)&lt;=Settings!$B$17,ABS(G144-Settings!$B$6)&lt;=Settings!$B$17,ABS(G144-Settings!$B$7)&lt;=Settings!$B$17),"NEAR CUT",""))</f>
        <v/>
      </c>
      <c r="AM144" s="31">
        <f>IF('Post-Test Entry'!$AR144&lt;&gt;"","Post essay: code "&amp;'Post-Test Entry'!$AR144,IF('Pre-Test Entry'!$AR144&lt;&gt;"","Pre essay: code "&amp;'Pre-Test Entry'!$AR144,""))</f>
        <v/>
      </c>
      <c r="AN144" s="39">
        <f>IFERROR(IF($AJ144="","",INDEX(Settings!$D$28:$D$34,MATCH($AJ144,Settings!$A$28:$A$34,0))),"")</f>
        <v/>
      </c>
      <c r="AP144">
        <f>IF(D144="","",D144^2)</f>
        <v/>
      </c>
      <c r="AQ144">
        <f>IF(G144="","",G144^2)</f>
        <v/>
      </c>
    </row>
    <row r="145">
      <c r="A145" s="30">
        <f>IF(Roster!$A145="","",Roster!$A145)</f>
        <v/>
      </c>
      <c r="B145" s="31">
        <f>IF(Roster!$B145&lt;&gt;"",Roster!$C145&amp;" "&amp;Roster!$B145,"")</f>
        <v/>
      </c>
      <c r="C145" s="30">
        <f>IF(Roster!$B145&lt;&gt;"",Roster!$D145,"")</f>
        <v/>
      </c>
      <c r="D145" s="16">
        <f>IF(AND(Roster!$B145&lt;&gt;"",COUNT('Pre-Test Entry'!$C145:$AQ145)&gt;0),'Pre-Test Entry'!$AS145,"")</f>
        <v/>
      </c>
      <c r="E145" s="37">
        <f>IFERROR(D145/Settings!$B$8,"")</f>
        <v/>
      </c>
      <c r="F145" s="31">
        <f>IF(D145="","",IF(D145&gt;=Settings!$B$7,"Distinguished Learner",IF(D145&gt;=Settings!$B$6,"Proficient Learner",IF(D145&gt;=Settings!$B$5,"Developing Learner","Beginning Learner"))))</f>
        <v/>
      </c>
      <c r="G145" s="16">
        <f>IF(AND(Roster!$B145&lt;&gt;"",COUNT('Post-Test Entry'!$C145:$AQ145)&gt;0),'Post-Test Entry'!$AS145,"")</f>
        <v/>
      </c>
      <c r="H145" s="37">
        <f>IFERROR(G145/Settings!$B$8,"")</f>
        <v/>
      </c>
      <c r="I145" s="31">
        <f>IF(G145="","",IF(G145&gt;=Settings!$B$7,"Distinguished Learner",IF(G145&gt;=Settings!$B$6,"Proficient Learner",IF(G145&gt;=Settings!$B$5,"Developing Learner","Beginning Learner"))))</f>
        <v/>
      </c>
      <c r="J145" s="16">
        <f>IF(OR(D145="",G145=""),"",G145-D145)</f>
        <v/>
      </c>
      <c r="K145" s="37">
        <f>IFERROR(IF(OR(J145="",J145&lt;=0),"",(G145-D145)/(Settings!$B$8-D145)),"")</f>
        <v/>
      </c>
      <c r="L145" s="38">
        <f>IFERROR(IF(J145="","",(G145-D145)/(Settings!$B$17*SQRT(2))),"")</f>
        <v/>
      </c>
      <c r="M145" s="30">
        <f>IF(L145="","",IF(ABS(L145)&gt;=1.96,"Yes","No"))</f>
        <v/>
      </c>
      <c r="N145" s="30">
        <f>IF(J145="","",IF(J145&gt;=Settings!$B$15,"Yes","No"))</f>
        <v/>
      </c>
      <c r="O145" s="37">
        <f>IFERROR(IF($D145="","",SUMIF('Pre-Test Entry'!$C$3:$AQ$3,Settings!$A$28,'Pre-Test Entry'!$C145:$AQ145)/Settings!$C$28),"")</f>
        <v/>
      </c>
      <c r="P145" s="37">
        <f>IFERROR(IF($D145="","",SUMIF('Pre-Test Entry'!$C$3:$AQ$3,Settings!$A$29,'Pre-Test Entry'!$C145:$AQ145)/Settings!$C$29),"")</f>
        <v/>
      </c>
      <c r="Q145" s="37">
        <f>IFERROR(IF($D145="","",SUMIF('Pre-Test Entry'!$C$3:$AQ$3,Settings!$A$30,'Pre-Test Entry'!$C145:$AQ145)/Settings!$C$30),"")</f>
        <v/>
      </c>
      <c r="R145" s="37">
        <f>IFERROR(IF($D145="","",SUMIF('Pre-Test Entry'!$C$3:$AQ$3,Settings!$A$31,'Pre-Test Entry'!$C145:$AQ145)/Settings!$C$31),"")</f>
        <v/>
      </c>
      <c r="S145" s="37">
        <f>IFERROR(IF($D145="","",SUMIF('Pre-Test Entry'!$C$3:$AQ$3,Settings!$A$32,'Pre-Test Entry'!$C145:$AQ145)/Settings!$C$32),"")</f>
        <v/>
      </c>
      <c r="T145" s="37">
        <f>IFERROR(IF($D145="","",SUMIF('Pre-Test Entry'!$C$3:$AQ$3,Settings!$A$33,'Pre-Test Entry'!$C145:$AQ145)/Settings!$C$33),"")</f>
        <v/>
      </c>
      <c r="U145" s="37">
        <f>IFERROR(IF($D145="","",SUMIF('Pre-Test Entry'!$C$3:$AQ$3,Settings!$A$34,'Pre-Test Entry'!$C145:$AQ145)/Settings!$C$34),"")</f>
        <v/>
      </c>
      <c r="V145" s="37">
        <f>IFERROR(IF($G145="","",SUMIF('Post-Test Entry'!$C$3:$AQ$3,Settings!$A$28,'Post-Test Entry'!$C145:$AQ145)/Settings!$C$28),"")</f>
        <v/>
      </c>
      <c r="W145" s="37">
        <f>IFERROR(IF($G145="","",SUMIF('Post-Test Entry'!$C$3:$AQ$3,Settings!$A$29,'Post-Test Entry'!$C145:$AQ145)/Settings!$C$29),"")</f>
        <v/>
      </c>
      <c r="X145" s="37">
        <f>IFERROR(IF($G145="","",SUMIF('Post-Test Entry'!$C$3:$AQ$3,Settings!$A$30,'Post-Test Entry'!$C145:$AQ145)/Settings!$C$30),"")</f>
        <v/>
      </c>
      <c r="Y145" s="37">
        <f>IFERROR(IF($G145="","",SUMIF('Post-Test Entry'!$C$3:$AQ$3,Settings!$A$31,'Post-Test Entry'!$C145:$AQ145)/Settings!$C$31),"")</f>
        <v/>
      </c>
      <c r="Z145" s="37">
        <f>IFERROR(IF($G145="","",SUMIF('Post-Test Entry'!$C$3:$AQ$3,Settings!$A$32,'Post-Test Entry'!$C145:$AQ145)/Settings!$C$32),"")</f>
        <v/>
      </c>
      <c r="AA145" s="37">
        <f>IFERROR(IF($G145="","",SUMIF('Post-Test Entry'!$C$3:$AQ$3,Settings!$A$33,'Post-Test Entry'!$C145:$AQ145)/Settings!$C$33),"")</f>
        <v/>
      </c>
      <c r="AB145" s="37">
        <f>IFERROR(IF($G145="","",SUMIF('Post-Test Entry'!$C$3:$AQ$3,Settings!$A$34,'Post-Test Entry'!$C145:$AQ145)/Settings!$C$34),"")</f>
        <v/>
      </c>
      <c r="AC145" s="37">
        <f>IF(OR(O145="",V145=""),"",V145-O145)</f>
        <v/>
      </c>
      <c r="AD145" s="37">
        <f>IF(OR(P145="",W145=""),"",W145-P145)</f>
        <v/>
      </c>
      <c r="AE145" s="37">
        <f>IF(OR(Q145="",X145=""),"",X145-Q145)</f>
        <v/>
      </c>
      <c r="AF145" s="37">
        <f>IF(OR(R145="",Y145=""),"",Y145-R145)</f>
        <v/>
      </c>
      <c r="AG145" s="37">
        <f>IF(OR(S145="",Z145=""),"",Z145-S145)</f>
        <v/>
      </c>
      <c r="AH145" s="37">
        <f>IF(OR(T145="",AA145=""),"",AA145-T145)</f>
        <v/>
      </c>
      <c r="AI145" s="37">
        <f>IF(OR(U145="",AB145=""),"",AB145-U145)</f>
        <v/>
      </c>
      <c r="AJ145" s="30">
        <f>IFERROR(IF($G145&lt;&gt;"",INDEX($V$4:$AB$4,MATCH(MIN($V145:$AB145),$V145:$AB145,0)),IF($D145&lt;&gt;"",INDEX($O$4:$U$4,MATCH(MIN($O145:$U145),$O145:$U145,0)),"")),"")</f>
        <v/>
      </c>
      <c r="AK145" s="30">
        <f>IFERROR(IF($G145&lt;&gt;"",INDEX($V$4:$AB$4,MATCH(SMALL($V145:$AB145,2),$V145:$AB145,0)),IF($D145&lt;&gt;"",INDEX($O$4:$U$4,MATCH(SMALL($O145:$U145,2),$O145:$U145,0)),"")),"")</f>
        <v/>
      </c>
      <c r="AL145" s="30">
        <f>IF(OR(G145="",Settings!$B$17=""),"",IF(OR(ABS(G145-Settings!$B$5)&lt;=Settings!$B$17,ABS(G145-Settings!$B$6)&lt;=Settings!$B$17,ABS(G145-Settings!$B$7)&lt;=Settings!$B$17),"NEAR CUT",""))</f>
        <v/>
      </c>
      <c r="AM145" s="31">
        <f>IF('Post-Test Entry'!$AR145&lt;&gt;"","Post essay: code "&amp;'Post-Test Entry'!$AR145,IF('Pre-Test Entry'!$AR145&lt;&gt;"","Pre essay: code "&amp;'Pre-Test Entry'!$AR145,""))</f>
        <v/>
      </c>
      <c r="AN145" s="39">
        <f>IFERROR(IF($AJ145="","",INDEX(Settings!$D$28:$D$34,MATCH($AJ145,Settings!$A$28:$A$34,0))),"")</f>
        <v/>
      </c>
      <c r="AP145">
        <f>IF(D145="","",D145^2)</f>
        <v/>
      </c>
      <c r="AQ145">
        <f>IF(G145="","",G145^2)</f>
        <v/>
      </c>
    </row>
    <row r="146">
      <c r="A146" s="30">
        <f>IF(Roster!$A146="","",Roster!$A146)</f>
        <v/>
      </c>
      <c r="B146" s="31">
        <f>IF(Roster!$B146&lt;&gt;"",Roster!$C146&amp;" "&amp;Roster!$B146,"")</f>
        <v/>
      </c>
      <c r="C146" s="30">
        <f>IF(Roster!$B146&lt;&gt;"",Roster!$D146,"")</f>
        <v/>
      </c>
      <c r="D146" s="16">
        <f>IF(AND(Roster!$B146&lt;&gt;"",COUNT('Pre-Test Entry'!$C146:$AQ146)&gt;0),'Pre-Test Entry'!$AS146,"")</f>
        <v/>
      </c>
      <c r="E146" s="37">
        <f>IFERROR(D146/Settings!$B$8,"")</f>
        <v/>
      </c>
      <c r="F146" s="31">
        <f>IF(D146="","",IF(D146&gt;=Settings!$B$7,"Distinguished Learner",IF(D146&gt;=Settings!$B$6,"Proficient Learner",IF(D146&gt;=Settings!$B$5,"Developing Learner","Beginning Learner"))))</f>
        <v/>
      </c>
      <c r="G146" s="16">
        <f>IF(AND(Roster!$B146&lt;&gt;"",COUNT('Post-Test Entry'!$C146:$AQ146)&gt;0),'Post-Test Entry'!$AS146,"")</f>
        <v/>
      </c>
      <c r="H146" s="37">
        <f>IFERROR(G146/Settings!$B$8,"")</f>
        <v/>
      </c>
      <c r="I146" s="31">
        <f>IF(G146="","",IF(G146&gt;=Settings!$B$7,"Distinguished Learner",IF(G146&gt;=Settings!$B$6,"Proficient Learner",IF(G146&gt;=Settings!$B$5,"Developing Learner","Beginning Learner"))))</f>
        <v/>
      </c>
      <c r="J146" s="16">
        <f>IF(OR(D146="",G146=""),"",G146-D146)</f>
        <v/>
      </c>
      <c r="K146" s="37">
        <f>IFERROR(IF(OR(J146="",J146&lt;=0),"",(G146-D146)/(Settings!$B$8-D146)),"")</f>
        <v/>
      </c>
      <c r="L146" s="38">
        <f>IFERROR(IF(J146="","",(G146-D146)/(Settings!$B$17*SQRT(2))),"")</f>
        <v/>
      </c>
      <c r="M146" s="30">
        <f>IF(L146="","",IF(ABS(L146)&gt;=1.96,"Yes","No"))</f>
        <v/>
      </c>
      <c r="N146" s="30">
        <f>IF(J146="","",IF(J146&gt;=Settings!$B$15,"Yes","No"))</f>
        <v/>
      </c>
      <c r="O146" s="37">
        <f>IFERROR(IF($D146="","",SUMIF('Pre-Test Entry'!$C$3:$AQ$3,Settings!$A$28,'Pre-Test Entry'!$C146:$AQ146)/Settings!$C$28),"")</f>
        <v/>
      </c>
      <c r="P146" s="37">
        <f>IFERROR(IF($D146="","",SUMIF('Pre-Test Entry'!$C$3:$AQ$3,Settings!$A$29,'Pre-Test Entry'!$C146:$AQ146)/Settings!$C$29),"")</f>
        <v/>
      </c>
      <c r="Q146" s="37">
        <f>IFERROR(IF($D146="","",SUMIF('Pre-Test Entry'!$C$3:$AQ$3,Settings!$A$30,'Pre-Test Entry'!$C146:$AQ146)/Settings!$C$30),"")</f>
        <v/>
      </c>
      <c r="R146" s="37">
        <f>IFERROR(IF($D146="","",SUMIF('Pre-Test Entry'!$C$3:$AQ$3,Settings!$A$31,'Pre-Test Entry'!$C146:$AQ146)/Settings!$C$31),"")</f>
        <v/>
      </c>
      <c r="S146" s="37">
        <f>IFERROR(IF($D146="","",SUMIF('Pre-Test Entry'!$C$3:$AQ$3,Settings!$A$32,'Pre-Test Entry'!$C146:$AQ146)/Settings!$C$32),"")</f>
        <v/>
      </c>
      <c r="T146" s="37">
        <f>IFERROR(IF($D146="","",SUMIF('Pre-Test Entry'!$C$3:$AQ$3,Settings!$A$33,'Pre-Test Entry'!$C146:$AQ146)/Settings!$C$33),"")</f>
        <v/>
      </c>
      <c r="U146" s="37">
        <f>IFERROR(IF($D146="","",SUMIF('Pre-Test Entry'!$C$3:$AQ$3,Settings!$A$34,'Pre-Test Entry'!$C146:$AQ146)/Settings!$C$34),"")</f>
        <v/>
      </c>
      <c r="V146" s="37">
        <f>IFERROR(IF($G146="","",SUMIF('Post-Test Entry'!$C$3:$AQ$3,Settings!$A$28,'Post-Test Entry'!$C146:$AQ146)/Settings!$C$28),"")</f>
        <v/>
      </c>
      <c r="W146" s="37">
        <f>IFERROR(IF($G146="","",SUMIF('Post-Test Entry'!$C$3:$AQ$3,Settings!$A$29,'Post-Test Entry'!$C146:$AQ146)/Settings!$C$29),"")</f>
        <v/>
      </c>
      <c r="X146" s="37">
        <f>IFERROR(IF($G146="","",SUMIF('Post-Test Entry'!$C$3:$AQ$3,Settings!$A$30,'Post-Test Entry'!$C146:$AQ146)/Settings!$C$30),"")</f>
        <v/>
      </c>
      <c r="Y146" s="37">
        <f>IFERROR(IF($G146="","",SUMIF('Post-Test Entry'!$C$3:$AQ$3,Settings!$A$31,'Post-Test Entry'!$C146:$AQ146)/Settings!$C$31),"")</f>
        <v/>
      </c>
      <c r="Z146" s="37">
        <f>IFERROR(IF($G146="","",SUMIF('Post-Test Entry'!$C$3:$AQ$3,Settings!$A$32,'Post-Test Entry'!$C146:$AQ146)/Settings!$C$32),"")</f>
        <v/>
      </c>
      <c r="AA146" s="37">
        <f>IFERROR(IF($G146="","",SUMIF('Post-Test Entry'!$C$3:$AQ$3,Settings!$A$33,'Post-Test Entry'!$C146:$AQ146)/Settings!$C$33),"")</f>
        <v/>
      </c>
      <c r="AB146" s="37">
        <f>IFERROR(IF($G146="","",SUMIF('Post-Test Entry'!$C$3:$AQ$3,Settings!$A$34,'Post-Test Entry'!$C146:$AQ146)/Settings!$C$34),"")</f>
        <v/>
      </c>
      <c r="AC146" s="37">
        <f>IF(OR(O146="",V146=""),"",V146-O146)</f>
        <v/>
      </c>
      <c r="AD146" s="37">
        <f>IF(OR(P146="",W146=""),"",W146-P146)</f>
        <v/>
      </c>
      <c r="AE146" s="37">
        <f>IF(OR(Q146="",X146=""),"",X146-Q146)</f>
        <v/>
      </c>
      <c r="AF146" s="37">
        <f>IF(OR(R146="",Y146=""),"",Y146-R146)</f>
        <v/>
      </c>
      <c r="AG146" s="37">
        <f>IF(OR(S146="",Z146=""),"",Z146-S146)</f>
        <v/>
      </c>
      <c r="AH146" s="37">
        <f>IF(OR(T146="",AA146=""),"",AA146-T146)</f>
        <v/>
      </c>
      <c r="AI146" s="37">
        <f>IF(OR(U146="",AB146=""),"",AB146-U146)</f>
        <v/>
      </c>
      <c r="AJ146" s="30">
        <f>IFERROR(IF($G146&lt;&gt;"",INDEX($V$4:$AB$4,MATCH(MIN($V146:$AB146),$V146:$AB146,0)),IF($D146&lt;&gt;"",INDEX($O$4:$U$4,MATCH(MIN($O146:$U146),$O146:$U146,0)),"")),"")</f>
        <v/>
      </c>
      <c r="AK146" s="30">
        <f>IFERROR(IF($G146&lt;&gt;"",INDEX($V$4:$AB$4,MATCH(SMALL($V146:$AB146,2),$V146:$AB146,0)),IF($D146&lt;&gt;"",INDEX($O$4:$U$4,MATCH(SMALL($O146:$U146,2),$O146:$U146,0)),"")),"")</f>
        <v/>
      </c>
      <c r="AL146" s="30">
        <f>IF(OR(G146="",Settings!$B$17=""),"",IF(OR(ABS(G146-Settings!$B$5)&lt;=Settings!$B$17,ABS(G146-Settings!$B$6)&lt;=Settings!$B$17,ABS(G146-Settings!$B$7)&lt;=Settings!$B$17),"NEAR CUT",""))</f>
        <v/>
      </c>
      <c r="AM146" s="31">
        <f>IF('Post-Test Entry'!$AR146&lt;&gt;"","Post essay: code "&amp;'Post-Test Entry'!$AR146,IF('Pre-Test Entry'!$AR146&lt;&gt;"","Pre essay: code "&amp;'Pre-Test Entry'!$AR146,""))</f>
        <v/>
      </c>
      <c r="AN146" s="39">
        <f>IFERROR(IF($AJ146="","",INDEX(Settings!$D$28:$D$34,MATCH($AJ146,Settings!$A$28:$A$34,0))),"")</f>
        <v/>
      </c>
      <c r="AP146">
        <f>IF(D146="","",D146^2)</f>
        <v/>
      </c>
      <c r="AQ146">
        <f>IF(G146="","",G146^2)</f>
        <v/>
      </c>
    </row>
    <row r="147">
      <c r="A147" s="30">
        <f>IF(Roster!$A147="","",Roster!$A147)</f>
        <v/>
      </c>
      <c r="B147" s="31">
        <f>IF(Roster!$B147&lt;&gt;"",Roster!$C147&amp;" "&amp;Roster!$B147,"")</f>
        <v/>
      </c>
      <c r="C147" s="30">
        <f>IF(Roster!$B147&lt;&gt;"",Roster!$D147,"")</f>
        <v/>
      </c>
      <c r="D147" s="16">
        <f>IF(AND(Roster!$B147&lt;&gt;"",COUNT('Pre-Test Entry'!$C147:$AQ147)&gt;0),'Pre-Test Entry'!$AS147,"")</f>
        <v/>
      </c>
      <c r="E147" s="37">
        <f>IFERROR(D147/Settings!$B$8,"")</f>
        <v/>
      </c>
      <c r="F147" s="31">
        <f>IF(D147="","",IF(D147&gt;=Settings!$B$7,"Distinguished Learner",IF(D147&gt;=Settings!$B$6,"Proficient Learner",IF(D147&gt;=Settings!$B$5,"Developing Learner","Beginning Learner"))))</f>
        <v/>
      </c>
      <c r="G147" s="16">
        <f>IF(AND(Roster!$B147&lt;&gt;"",COUNT('Post-Test Entry'!$C147:$AQ147)&gt;0),'Post-Test Entry'!$AS147,"")</f>
        <v/>
      </c>
      <c r="H147" s="37">
        <f>IFERROR(G147/Settings!$B$8,"")</f>
        <v/>
      </c>
      <c r="I147" s="31">
        <f>IF(G147="","",IF(G147&gt;=Settings!$B$7,"Distinguished Learner",IF(G147&gt;=Settings!$B$6,"Proficient Learner",IF(G147&gt;=Settings!$B$5,"Developing Learner","Beginning Learner"))))</f>
        <v/>
      </c>
      <c r="J147" s="16">
        <f>IF(OR(D147="",G147=""),"",G147-D147)</f>
        <v/>
      </c>
      <c r="K147" s="37">
        <f>IFERROR(IF(OR(J147="",J147&lt;=0),"",(G147-D147)/(Settings!$B$8-D147)),"")</f>
        <v/>
      </c>
      <c r="L147" s="38">
        <f>IFERROR(IF(J147="","",(G147-D147)/(Settings!$B$17*SQRT(2))),"")</f>
        <v/>
      </c>
      <c r="M147" s="30">
        <f>IF(L147="","",IF(ABS(L147)&gt;=1.96,"Yes","No"))</f>
        <v/>
      </c>
      <c r="N147" s="30">
        <f>IF(J147="","",IF(J147&gt;=Settings!$B$15,"Yes","No"))</f>
        <v/>
      </c>
      <c r="O147" s="37">
        <f>IFERROR(IF($D147="","",SUMIF('Pre-Test Entry'!$C$3:$AQ$3,Settings!$A$28,'Pre-Test Entry'!$C147:$AQ147)/Settings!$C$28),"")</f>
        <v/>
      </c>
      <c r="P147" s="37">
        <f>IFERROR(IF($D147="","",SUMIF('Pre-Test Entry'!$C$3:$AQ$3,Settings!$A$29,'Pre-Test Entry'!$C147:$AQ147)/Settings!$C$29),"")</f>
        <v/>
      </c>
      <c r="Q147" s="37">
        <f>IFERROR(IF($D147="","",SUMIF('Pre-Test Entry'!$C$3:$AQ$3,Settings!$A$30,'Pre-Test Entry'!$C147:$AQ147)/Settings!$C$30),"")</f>
        <v/>
      </c>
      <c r="R147" s="37">
        <f>IFERROR(IF($D147="","",SUMIF('Pre-Test Entry'!$C$3:$AQ$3,Settings!$A$31,'Pre-Test Entry'!$C147:$AQ147)/Settings!$C$31),"")</f>
        <v/>
      </c>
      <c r="S147" s="37">
        <f>IFERROR(IF($D147="","",SUMIF('Pre-Test Entry'!$C$3:$AQ$3,Settings!$A$32,'Pre-Test Entry'!$C147:$AQ147)/Settings!$C$32),"")</f>
        <v/>
      </c>
      <c r="T147" s="37">
        <f>IFERROR(IF($D147="","",SUMIF('Pre-Test Entry'!$C$3:$AQ$3,Settings!$A$33,'Pre-Test Entry'!$C147:$AQ147)/Settings!$C$33),"")</f>
        <v/>
      </c>
      <c r="U147" s="37">
        <f>IFERROR(IF($D147="","",SUMIF('Pre-Test Entry'!$C$3:$AQ$3,Settings!$A$34,'Pre-Test Entry'!$C147:$AQ147)/Settings!$C$34),"")</f>
        <v/>
      </c>
      <c r="V147" s="37">
        <f>IFERROR(IF($G147="","",SUMIF('Post-Test Entry'!$C$3:$AQ$3,Settings!$A$28,'Post-Test Entry'!$C147:$AQ147)/Settings!$C$28),"")</f>
        <v/>
      </c>
      <c r="W147" s="37">
        <f>IFERROR(IF($G147="","",SUMIF('Post-Test Entry'!$C$3:$AQ$3,Settings!$A$29,'Post-Test Entry'!$C147:$AQ147)/Settings!$C$29),"")</f>
        <v/>
      </c>
      <c r="X147" s="37">
        <f>IFERROR(IF($G147="","",SUMIF('Post-Test Entry'!$C$3:$AQ$3,Settings!$A$30,'Post-Test Entry'!$C147:$AQ147)/Settings!$C$30),"")</f>
        <v/>
      </c>
      <c r="Y147" s="37">
        <f>IFERROR(IF($G147="","",SUMIF('Post-Test Entry'!$C$3:$AQ$3,Settings!$A$31,'Post-Test Entry'!$C147:$AQ147)/Settings!$C$31),"")</f>
        <v/>
      </c>
      <c r="Z147" s="37">
        <f>IFERROR(IF($G147="","",SUMIF('Post-Test Entry'!$C$3:$AQ$3,Settings!$A$32,'Post-Test Entry'!$C147:$AQ147)/Settings!$C$32),"")</f>
        <v/>
      </c>
      <c r="AA147" s="37">
        <f>IFERROR(IF($G147="","",SUMIF('Post-Test Entry'!$C$3:$AQ$3,Settings!$A$33,'Post-Test Entry'!$C147:$AQ147)/Settings!$C$33),"")</f>
        <v/>
      </c>
      <c r="AB147" s="37">
        <f>IFERROR(IF($G147="","",SUMIF('Post-Test Entry'!$C$3:$AQ$3,Settings!$A$34,'Post-Test Entry'!$C147:$AQ147)/Settings!$C$34),"")</f>
        <v/>
      </c>
      <c r="AC147" s="37">
        <f>IF(OR(O147="",V147=""),"",V147-O147)</f>
        <v/>
      </c>
      <c r="AD147" s="37">
        <f>IF(OR(P147="",W147=""),"",W147-P147)</f>
        <v/>
      </c>
      <c r="AE147" s="37">
        <f>IF(OR(Q147="",X147=""),"",X147-Q147)</f>
        <v/>
      </c>
      <c r="AF147" s="37">
        <f>IF(OR(R147="",Y147=""),"",Y147-R147)</f>
        <v/>
      </c>
      <c r="AG147" s="37">
        <f>IF(OR(S147="",Z147=""),"",Z147-S147)</f>
        <v/>
      </c>
      <c r="AH147" s="37">
        <f>IF(OR(T147="",AA147=""),"",AA147-T147)</f>
        <v/>
      </c>
      <c r="AI147" s="37">
        <f>IF(OR(U147="",AB147=""),"",AB147-U147)</f>
        <v/>
      </c>
      <c r="AJ147" s="30">
        <f>IFERROR(IF($G147&lt;&gt;"",INDEX($V$4:$AB$4,MATCH(MIN($V147:$AB147),$V147:$AB147,0)),IF($D147&lt;&gt;"",INDEX($O$4:$U$4,MATCH(MIN($O147:$U147),$O147:$U147,0)),"")),"")</f>
        <v/>
      </c>
      <c r="AK147" s="30">
        <f>IFERROR(IF($G147&lt;&gt;"",INDEX($V$4:$AB$4,MATCH(SMALL($V147:$AB147,2),$V147:$AB147,0)),IF($D147&lt;&gt;"",INDEX($O$4:$U$4,MATCH(SMALL($O147:$U147,2),$O147:$U147,0)),"")),"")</f>
        <v/>
      </c>
      <c r="AL147" s="30">
        <f>IF(OR(G147="",Settings!$B$17=""),"",IF(OR(ABS(G147-Settings!$B$5)&lt;=Settings!$B$17,ABS(G147-Settings!$B$6)&lt;=Settings!$B$17,ABS(G147-Settings!$B$7)&lt;=Settings!$B$17),"NEAR CUT",""))</f>
        <v/>
      </c>
      <c r="AM147" s="31">
        <f>IF('Post-Test Entry'!$AR147&lt;&gt;"","Post essay: code "&amp;'Post-Test Entry'!$AR147,IF('Pre-Test Entry'!$AR147&lt;&gt;"","Pre essay: code "&amp;'Pre-Test Entry'!$AR147,""))</f>
        <v/>
      </c>
      <c r="AN147" s="39">
        <f>IFERROR(IF($AJ147="","",INDEX(Settings!$D$28:$D$34,MATCH($AJ147,Settings!$A$28:$A$34,0))),"")</f>
        <v/>
      </c>
      <c r="AP147">
        <f>IF(D147="","",D147^2)</f>
        <v/>
      </c>
      <c r="AQ147">
        <f>IF(G147="","",G147^2)</f>
        <v/>
      </c>
    </row>
    <row r="148">
      <c r="A148" s="30">
        <f>IF(Roster!$A148="","",Roster!$A148)</f>
        <v/>
      </c>
      <c r="B148" s="31">
        <f>IF(Roster!$B148&lt;&gt;"",Roster!$C148&amp;" "&amp;Roster!$B148,"")</f>
        <v/>
      </c>
      <c r="C148" s="30">
        <f>IF(Roster!$B148&lt;&gt;"",Roster!$D148,"")</f>
        <v/>
      </c>
      <c r="D148" s="16">
        <f>IF(AND(Roster!$B148&lt;&gt;"",COUNT('Pre-Test Entry'!$C148:$AQ148)&gt;0),'Pre-Test Entry'!$AS148,"")</f>
        <v/>
      </c>
      <c r="E148" s="37">
        <f>IFERROR(D148/Settings!$B$8,"")</f>
        <v/>
      </c>
      <c r="F148" s="31">
        <f>IF(D148="","",IF(D148&gt;=Settings!$B$7,"Distinguished Learner",IF(D148&gt;=Settings!$B$6,"Proficient Learner",IF(D148&gt;=Settings!$B$5,"Developing Learner","Beginning Learner"))))</f>
        <v/>
      </c>
      <c r="G148" s="16">
        <f>IF(AND(Roster!$B148&lt;&gt;"",COUNT('Post-Test Entry'!$C148:$AQ148)&gt;0),'Post-Test Entry'!$AS148,"")</f>
        <v/>
      </c>
      <c r="H148" s="37">
        <f>IFERROR(G148/Settings!$B$8,"")</f>
        <v/>
      </c>
      <c r="I148" s="31">
        <f>IF(G148="","",IF(G148&gt;=Settings!$B$7,"Distinguished Learner",IF(G148&gt;=Settings!$B$6,"Proficient Learner",IF(G148&gt;=Settings!$B$5,"Developing Learner","Beginning Learner"))))</f>
        <v/>
      </c>
      <c r="J148" s="16">
        <f>IF(OR(D148="",G148=""),"",G148-D148)</f>
        <v/>
      </c>
      <c r="K148" s="37">
        <f>IFERROR(IF(OR(J148="",J148&lt;=0),"",(G148-D148)/(Settings!$B$8-D148)),"")</f>
        <v/>
      </c>
      <c r="L148" s="38">
        <f>IFERROR(IF(J148="","",(G148-D148)/(Settings!$B$17*SQRT(2))),"")</f>
        <v/>
      </c>
      <c r="M148" s="30">
        <f>IF(L148="","",IF(ABS(L148)&gt;=1.96,"Yes","No"))</f>
        <v/>
      </c>
      <c r="N148" s="30">
        <f>IF(J148="","",IF(J148&gt;=Settings!$B$15,"Yes","No"))</f>
        <v/>
      </c>
      <c r="O148" s="37">
        <f>IFERROR(IF($D148="","",SUMIF('Pre-Test Entry'!$C$3:$AQ$3,Settings!$A$28,'Pre-Test Entry'!$C148:$AQ148)/Settings!$C$28),"")</f>
        <v/>
      </c>
      <c r="P148" s="37">
        <f>IFERROR(IF($D148="","",SUMIF('Pre-Test Entry'!$C$3:$AQ$3,Settings!$A$29,'Pre-Test Entry'!$C148:$AQ148)/Settings!$C$29),"")</f>
        <v/>
      </c>
      <c r="Q148" s="37">
        <f>IFERROR(IF($D148="","",SUMIF('Pre-Test Entry'!$C$3:$AQ$3,Settings!$A$30,'Pre-Test Entry'!$C148:$AQ148)/Settings!$C$30),"")</f>
        <v/>
      </c>
      <c r="R148" s="37">
        <f>IFERROR(IF($D148="","",SUMIF('Pre-Test Entry'!$C$3:$AQ$3,Settings!$A$31,'Pre-Test Entry'!$C148:$AQ148)/Settings!$C$31),"")</f>
        <v/>
      </c>
      <c r="S148" s="37">
        <f>IFERROR(IF($D148="","",SUMIF('Pre-Test Entry'!$C$3:$AQ$3,Settings!$A$32,'Pre-Test Entry'!$C148:$AQ148)/Settings!$C$32),"")</f>
        <v/>
      </c>
      <c r="T148" s="37">
        <f>IFERROR(IF($D148="","",SUMIF('Pre-Test Entry'!$C$3:$AQ$3,Settings!$A$33,'Pre-Test Entry'!$C148:$AQ148)/Settings!$C$33),"")</f>
        <v/>
      </c>
      <c r="U148" s="37">
        <f>IFERROR(IF($D148="","",SUMIF('Pre-Test Entry'!$C$3:$AQ$3,Settings!$A$34,'Pre-Test Entry'!$C148:$AQ148)/Settings!$C$34),"")</f>
        <v/>
      </c>
      <c r="V148" s="37">
        <f>IFERROR(IF($G148="","",SUMIF('Post-Test Entry'!$C$3:$AQ$3,Settings!$A$28,'Post-Test Entry'!$C148:$AQ148)/Settings!$C$28),"")</f>
        <v/>
      </c>
      <c r="W148" s="37">
        <f>IFERROR(IF($G148="","",SUMIF('Post-Test Entry'!$C$3:$AQ$3,Settings!$A$29,'Post-Test Entry'!$C148:$AQ148)/Settings!$C$29),"")</f>
        <v/>
      </c>
      <c r="X148" s="37">
        <f>IFERROR(IF($G148="","",SUMIF('Post-Test Entry'!$C$3:$AQ$3,Settings!$A$30,'Post-Test Entry'!$C148:$AQ148)/Settings!$C$30),"")</f>
        <v/>
      </c>
      <c r="Y148" s="37">
        <f>IFERROR(IF($G148="","",SUMIF('Post-Test Entry'!$C$3:$AQ$3,Settings!$A$31,'Post-Test Entry'!$C148:$AQ148)/Settings!$C$31),"")</f>
        <v/>
      </c>
      <c r="Z148" s="37">
        <f>IFERROR(IF($G148="","",SUMIF('Post-Test Entry'!$C$3:$AQ$3,Settings!$A$32,'Post-Test Entry'!$C148:$AQ148)/Settings!$C$32),"")</f>
        <v/>
      </c>
      <c r="AA148" s="37">
        <f>IFERROR(IF($G148="","",SUMIF('Post-Test Entry'!$C$3:$AQ$3,Settings!$A$33,'Post-Test Entry'!$C148:$AQ148)/Settings!$C$33),"")</f>
        <v/>
      </c>
      <c r="AB148" s="37">
        <f>IFERROR(IF($G148="","",SUMIF('Post-Test Entry'!$C$3:$AQ$3,Settings!$A$34,'Post-Test Entry'!$C148:$AQ148)/Settings!$C$34),"")</f>
        <v/>
      </c>
      <c r="AC148" s="37">
        <f>IF(OR(O148="",V148=""),"",V148-O148)</f>
        <v/>
      </c>
      <c r="AD148" s="37">
        <f>IF(OR(P148="",W148=""),"",W148-P148)</f>
        <v/>
      </c>
      <c r="AE148" s="37">
        <f>IF(OR(Q148="",X148=""),"",X148-Q148)</f>
        <v/>
      </c>
      <c r="AF148" s="37">
        <f>IF(OR(R148="",Y148=""),"",Y148-R148)</f>
        <v/>
      </c>
      <c r="AG148" s="37">
        <f>IF(OR(S148="",Z148=""),"",Z148-S148)</f>
        <v/>
      </c>
      <c r="AH148" s="37">
        <f>IF(OR(T148="",AA148=""),"",AA148-T148)</f>
        <v/>
      </c>
      <c r="AI148" s="37">
        <f>IF(OR(U148="",AB148=""),"",AB148-U148)</f>
        <v/>
      </c>
      <c r="AJ148" s="30">
        <f>IFERROR(IF($G148&lt;&gt;"",INDEX($V$4:$AB$4,MATCH(MIN($V148:$AB148),$V148:$AB148,0)),IF($D148&lt;&gt;"",INDEX($O$4:$U$4,MATCH(MIN($O148:$U148),$O148:$U148,0)),"")),"")</f>
        <v/>
      </c>
      <c r="AK148" s="30">
        <f>IFERROR(IF($G148&lt;&gt;"",INDEX($V$4:$AB$4,MATCH(SMALL($V148:$AB148,2),$V148:$AB148,0)),IF($D148&lt;&gt;"",INDEX($O$4:$U$4,MATCH(SMALL($O148:$U148,2),$O148:$U148,0)),"")),"")</f>
        <v/>
      </c>
      <c r="AL148" s="30">
        <f>IF(OR(G148="",Settings!$B$17=""),"",IF(OR(ABS(G148-Settings!$B$5)&lt;=Settings!$B$17,ABS(G148-Settings!$B$6)&lt;=Settings!$B$17,ABS(G148-Settings!$B$7)&lt;=Settings!$B$17),"NEAR CUT",""))</f>
        <v/>
      </c>
      <c r="AM148" s="31">
        <f>IF('Post-Test Entry'!$AR148&lt;&gt;"","Post essay: code "&amp;'Post-Test Entry'!$AR148,IF('Pre-Test Entry'!$AR148&lt;&gt;"","Pre essay: code "&amp;'Pre-Test Entry'!$AR148,""))</f>
        <v/>
      </c>
      <c r="AN148" s="39">
        <f>IFERROR(IF($AJ148="","",INDEX(Settings!$D$28:$D$34,MATCH($AJ148,Settings!$A$28:$A$34,0))),"")</f>
        <v/>
      </c>
      <c r="AP148">
        <f>IF(D148="","",D148^2)</f>
        <v/>
      </c>
      <c r="AQ148">
        <f>IF(G148="","",G148^2)</f>
        <v/>
      </c>
    </row>
    <row r="149">
      <c r="A149" s="30">
        <f>IF(Roster!$A149="","",Roster!$A149)</f>
        <v/>
      </c>
      <c r="B149" s="31">
        <f>IF(Roster!$B149&lt;&gt;"",Roster!$C149&amp;" "&amp;Roster!$B149,"")</f>
        <v/>
      </c>
      <c r="C149" s="30">
        <f>IF(Roster!$B149&lt;&gt;"",Roster!$D149,"")</f>
        <v/>
      </c>
      <c r="D149" s="16">
        <f>IF(AND(Roster!$B149&lt;&gt;"",COUNT('Pre-Test Entry'!$C149:$AQ149)&gt;0),'Pre-Test Entry'!$AS149,"")</f>
        <v/>
      </c>
      <c r="E149" s="37">
        <f>IFERROR(D149/Settings!$B$8,"")</f>
        <v/>
      </c>
      <c r="F149" s="31">
        <f>IF(D149="","",IF(D149&gt;=Settings!$B$7,"Distinguished Learner",IF(D149&gt;=Settings!$B$6,"Proficient Learner",IF(D149&gt;=Settings!$B$5,"Developing Learner","Beginning Learner"))))</f>
        <v/>
      </c>
      <c r="G149" s="16">
        <f>IF(AND(Roster!$B149&lt;&gt;"",COUNT('Post-Test Entry'!$C149:$AQ149)&gt;0),'Post-Test Entry'!$AS149,"")</f>
        <v/>
      </c>
      <c r="H149" s="37">
        <f>IFERROR(G149/Settings!$B$8,"")</f>
        <v/>
      </c>
      <c r="I149" s="31">
        <f>IF(G149="","",IF(G149&gt;=Settings!$B$7,"Distinguished Learner",IF(G149&gt;=Settings!$B$6,"Proficient Learner",IF(G149&gt;=Settings!$B$5,"Developing Learner","Beginning Learner"))))</f>
        <v/>
      </c>
      <c r="J149" s="16">
        <f>IF(OR(D149="",G149=""),"",G149-D149)</f>
        <v/>
      </c>
      <c r="K149" s="37">
        <f>IFERROR(IF(OR(J149="",J149&lt;=0),"",(G149-D149)/(Settings!$B$8-D149)),"")</f>
        <v/>
      </c>
      <c r="L149" s="38">
        <f>IFERROR(IF(J149="","",(G149-D149)/(Settings!$B$17*SQRT(2))),"")</f>
        <v/>
      </c>
      <c r="M149" s="30">
        <f>IF(L149="","",IF(ABS(L149)&gt;=1.96,"Yes","No"))</f>
        <v/>
      </c>
      <c r="N149" s="30">
        <f>IF(J149="","",IF(J149&gt;=Settings!$B$15,"Yes","No"))</f>
        <v/>
      </c>
      <c r="O149" s="37">
        <f>IFERROR(IF($D149="","",SUMIF('Pre-Test Entry'!$C$3:$AQ$3,Settings!$A$28,'Pre-Test Entry'!$C149:$AQ149)/Settings!$C$28),"")</f>
        <v/>
      </c>
      <c r="P149" s="37">
        <f>IFERROR(IF($D149="","",SUMIF('Pre-Test Entry'!$C$3:$AQ$3,Settings!$A$29,'Pre-Test Entry'!$C149:$AQ149)/Settings!$C$29),"")</f>
        <v/>
      </c>
      <c r="Q149" s="37">
        <f>IFERROR(IF($D149="","",SUMIF('Pre-Test Entry'!$C$3:$AQ$3,Settings!$A$30,'Pre-Test Entry'!$C149:$AQ149)/Settings!$C$30),"")</f>
        <v/>
      </c>
      <c r="R149" s="37">
        <f>IFERROR(IF($D149="","",SUMIF('Pre-Test Entry'!$C$3:$AQ$3,Settings!$A$31,'Pre-Test Entry'!$C149:$AQ149)/Settings!$C$31),"")</f>
        <v/>
      </c>
      <c r="S149" s="37">
        <f>IFERROR(IF($D149="","",SUMIF('Pre-Test Entry'!$C$3:$AQ$3,Settings!$A$32,'Pre-Test Entry'!$C149:$AQ149)/Settings!$C$32),"")</f>
        <v/>
      </c>
      <c r="T149" s="37">
        <f>IFERROR(IF($D149="","",SUMIF('Pre-Test Entry'!$C$3:$AQ$3,Settings!$A$33,'Pre-Test Entry'!$C149:$AQ149)/Settings!$C$33),"")</f>
        <v/>
      </c>
      <c r="U149" s="37">
        <f>IFERROR(IF($D149="","",SUMIF('Pre-Test Entry'!$C$3:$AQ$3,Settings!$A$34,'Pre-Test Entry'!$C149:$AQ149)/Settings!$C$34),"")</f>
        <v/>
      </c>
      <c r="V149" s="37">
        <f>IFERROR(IF($G149="","",SUMIF('Post-Test Entry'!$C$3:$AQ$3,Settings!$A$28,'Post-Test Entry'!$C149:$AQ149)/Settings!$C$28),"")</f>
        <v/>
      </c>
      <c r="W149" s="37">
        <f>IFERROR(IF($G149="","",SUMIF('Post-Test Entry'!$C$3:$AQ$3,Settings!$A$29,'Post-Test Entry'!$C149:$AQ149)/Settings!$C$29),"")</f>
        <v/>
      </c>
      <c r="X149" s="37">
        <f>IFERROR(IF($G149="","",SUMIF('Post-Test Entry'!$C$3:$AQ$3,Settings!$A$30,'Post-Test Entry'!$C149:$AQ149)/Settings!$C$30),"")</f>
        <v/>
      </c>
      <c r="Y149" s="37">
        <f>IFERROR(IF($G149="","",SUMIF('Post-Test Entry'!$C$3:$AQ$3,Settings!$A$31,'Post-Test Entry'!$C149:$AQ149)/Settings!$C$31),"")</f>
        <v/>
      </c>
      <c r="Z149" s="37">
        <f>IFERROR(IF($G149="","",SUMIF('Post-Test Entry'!$C$3:$AQ$3,Settings!$A$32,'Post-Test Entry'!$C149:$AQ149)/Settings!$C$32),"")</f>
        <v/>
      </c>
      <c r="AA149" s="37">
        <f>IFERROR(IF($G149="","",SUMIF('Post-Test Entry'!$C$3:$AQ$3,Settings!$A$33,'Post-Test Entry'!$C149:$AQ149)/Settings!$C$33),"")</f>
        <v/>
      </c>
      <c r="AB149" s="37">
        <f>IFERROR(IF($G149="","",SUMIF('Post-Test Entry'!$C$3:$AQ$3,Settings!$A$34,'Post-Test Entry'!$C149:$AQ149)/Settings!$C$34),"")</f>
        <v/>
      </c>
      <c r="AC149" s="37">
        <f>IF(OR(O149="",V149=""),"",V149-O149)</f>
        <v/>
      </c>
      <c r="AD149" s="37">
        <f>IF(OR(P149="",W149=""),"",W149-P149)</f>
        <v/>
      </c>
      <c r="AE149" s="37">
        <f>IF(OR(Q149="",X149=""),"",X149-Q149)</f>
        <v/>
      </c>
      <c r="AF149" s="37">
        <f>IF(OR(R149="",Y149=""),"",Y149-R149)</f>
        <v/>
      </c>
      <c r="AG149" s="37">
        <f>IF(OR(S149="",Z149=""),"",Z149-S149)</f>
        <v/>
      </c>
      <c r="AH149" s="37">
        <f>IF(OR(T149="",AA149=""),"",AA149-T149)</f>
        <v/>
      </c>
      <c r="AI149" s="37">
        <f>IF(OR(U149="",AB149=""),"",AB149-U149)</f>
        <v/>
      </c>
      <c r="AJ149" s="30">
        <f>IFERROR(IF($G149&lt;&gt;"",INDEX($V$4:$AB$4,MATCH(MIN($V149:$AB149),$V149:$AB149,0)),IF($D149&lt;&gt;"",INDEX($O$4:$U$4,MATCH(MIN($O149:$U149),$O149:$U149,0)),"")),"")</f>
        <v/>
      </c>
      <c r="AK149" s="30">
        <f>IFERROR(IF($G149&lt;&gt;"",INDEX($V$4:$AB$4,MATCH(SMALL($V149:$AB149,2),$V149:$AB149,0)),IF($D149&lt;&gt;"",INDEX($O$4:$U$4,MATCH(SMALL($O149:$U149,2),$O149:$U149,0)),"")),"")</f>
        <v/>
      </c>
      <c r="AL149" s="30">
        <f>IF(OR(G149="",Settings!$B$17=""),"",IF(OR(ABS(G149-Settings!$B$5)&lt;=Settings!$B$17,ABS(G149-Settings!$B$6)&lt;=Settings!$B$17,ABS(G149-Settings!$B$7)&lt;=Settings!$B$17),"NEAR CUT",""))</f>
        <v/>
      </c>
      <c r="AM149" s="31">
        <f>IF('Post-Test Entry'!$AR149&lt;&gt;"","Post essay: code "&amp;'Post-Test Entry'!$AR149,IF('Pre-Test Entry'!$AR149&lt;&gt;"","Pre essay: code "&amp;'Pre-Test Entry'!$AR149,""))</f>
        <v/>
      </c>
      <c r="AN149" s="39">
        <f>IFERROR(IF($AJ149="","",INDEX(Settings!$D$28:$D$34,MATCH($AJ149,Settings!$A$28:$A$34,0))),"")</f>
        <v/>
      </c>
      <c r="AP149">
        <f>IF(D149="","",D149^2)</f>
        <v/>
      </c>
      <c r="AQ149">
        <f>IF(G149="","",G149^2)</f>
        <v/>
      </c>
    </row>
    <row r="150">
      <c r="A150" s="30">
        <f>IF(Roster!$A150="","",Roster!$A150)</f>
        <v/>
      </c>
      <c r="B150" s="31">
        <f>IF(Roster!$B150&lt;&gt;"",Roster!$C150&amp;" "&amp;Roster!$B150,"")</f>
        <v/>
      </c>
      <c r="C150" s="30">
        <f>IF(Roster!$B150&lt;&gt;"",Roster!$D150,"")</f>
        <v/>
      </c>
      <c r="D150" s="16">
        <f>IF(AND(Roster!$B150&lt;&gt;"",COUNT('Pre-Test Entry'!$C150:$AQ150)&gt;0),'Pre-Test Entry'!$AS150,"")</f>
        <v/>
      </c>
      <c r="E150" s="37">
        <f>IFERROR(D150/Settings!$B$8,"")</f>
        <v/>
      </c>
      <c r="F150" s="31">
        <f>IF(D150="","",IF(D150&gt;=Settings!$B$7,"Distinguished Learner",IF(D150&gt;=Settings!$B$6,"Proficient Learner",IF(D150&gt;=Settings!$B$5,"Developing Learner","Beginning Learner"))))</f>
        <v/>
      </c>
      <c r="G150" s="16">
        <f>IF(AND(Roster!$B150&lt;&gt;"",COUNT('Post-Test Entry'!$C150:$AQ150)&gt;0),'Post-Test Entry'!$AS150,"")</f>
        <v/>
      </c>
      <c r="H150" s="37">
        <f>IFERROR(G150/Settings!$B$8,"")</f>
        <v/>
      </c>
      <c r="I150" s="31">
        <f>IF(G150="","",IF(G150&gt;=Settings!$B$7,"Distinguished Learner",IF(G150&gt;=Settings!$B$6,"Proficient Learner",IF(G150&gt;=Settings!$B$5,"Developing Learner","Beginning Learner"))))</f>
        <v/>
      </c>
      <c r="J150" s="16">
        <f>IF(OR(D150="",G150=""),"",G150-D150)</f>
        <v/>
      </c>
      <c r="K150" s="37">
        <f>IFERROR(IF(OR(J150="",J150&lt;=0),"",(G150-D150)/(Settings!$B$8-D150)),"")</f>
        <v/>
      </c>
      <c r="L150" s="38">
        <f>IFERROR(IF(J150="","",(G150-D150)/(Settings!$B$17*SQRT(2))),"")</f>
        <v/>
      </c>
      <c r="M150" s="30">
        <f>IF(L150="","",IF(ABS(L150)&gt;=1.96,"Yes","No"))</f>
        <v/>
      </c>
      <c r="N150" s="30">
        <f>IF(J150="","",IF(J150&gt;=Settings!$B$15,"Yes","No"))</f>
        <v/>
      </c>
      <c r="O150" s="37">
        <f>IFERROR(IF($D150="","",SUMIF('Pre-Test Entry'!$C$3:$AQ$3,Settings!$A$28,'Pre-Test Entry'!$C150:$AQ150)/Settings!$C$28),"")</f>
        <v/>
      </c>
      <c r="P150" s="37">
        <f>IFERROR(IF($D150="","",SUMIF('Pre-Test Entry'!$C$3:$AQ$3,Settings!$A$29,'Pre-Test Entry'!$C150:$AQ150)/Settings!$C$29),"")</f>
        <v/>
      </c>
      <c r="Q150" s="37">
        <f>IFERROR(IF($D150="","",SUMIF('Pre-Test Entry'!$C$3:$AQ$3,Settings!$A$30,'Pre-Test Entry'!$C150:$AQ150)/Settings!$C$30),"")</f>
        <v/>
      </c>
      <c r="R150" s="37">
        <f>IFERROR(IF($D150="","",SUMIF('Pre-Test Entry'!$C$3:$AQ$3,Settings!$A$31,'Pre-Test Entry'!$C150:$AQ150)/Settings!$C$31),"")</f>
        <v/>
      </c>
      <c r="S150" s="37">
        <f>IFERROR(IF($D150="","",SUMIF('Pre-Test Entry'!$C$3:$AQ$3,Settings!$A$32,'Pre-Test Entry'!$C150:$AQ150)/Settings!$C$32),"")</f>
        <v/>
      </c>
      <c r="T150" s="37">
        <f>IFERROR(IF($D150="","",SUMIF('Pre-Test Entry'!$C$3:$AQ$3,Settings!$A$33,'Pre-Test Entry'!$C150:$AQ150)/Settings!$C$33),"")</f>
        <v/>
      </c>
      <c r="U150" s="37">
        <f>IFERROR(IF($D150="","",SUMIF('Pre-Test Entry'!$C$3:$AQ$3,Settings!$A$34,'Pre-Test Entry'!$C150:$AQ150)/Settings!$C$34),"")</f>
        <v/>
      </c>
      <c r="V150" s="37">
        <f>IFERROR(IF($G150="","",SUMIF('Post-Test Entry'!$C$3:$AQ$3,Settings!$A$28,'Post-Test Entry'!$C150:$AQ150)/Settings!$C$28),"")</f>
        <v/>
      </c>
      <c r="W150" s="37">
        <f>IFERROR(IF($G150="","",SUMIF('Post-Test Entry'!$C$3:$AQ$3,Settings!$A$29,'Post-Test Entry'!$C150:$AQ150)/Settings!$C$29),"")</f>
        <v/>
      </c>
      <c r="X150" s="37">
        <f>IFERROR(IF($G150="","",SUMIF('Post-Test Entry'!$C$3:$AQ$3,Settings!$A$30,'Post-Test Entry'!$C150:$AQ150)/Settings!$C$30),"")</f>
        <v/>
      </c>
      <c r="Y150" s="37">
        <f>IFERROR(IF($G150="","",SUMIF('Post-Test Entry'!$C$3:$AQ$3,Settings!$A$31,'Post-Test Entry'!$C150:$AQ150)/Settings!$C$31),"")</f>
        <v/>
      </c>
      <c r="Z150" s="37">
        <f>IFERROR(IF($G150="","",SUMIF('Post-Test Entry'!$C$3:$AQ$3,Settings!$A$32,'Post-Test Entry'!$C150:$AQ150)/Settings!$C$32),"")</f>
        <v/>
      </c>
      <c r="AA150" s="37">
        <f>IFERROR(IF($G150="","",SUMIF('Post-Test Entry'!$C$3:$AQ$3,Settings!$A$33,'Post-Test Entry'!$C150:$AQ150)/Settings!$C$33),"")</f>
        <v/>
      </c>
      <c r="AB150" s="37">
        <f>IFERROR(IF($G150="","",SUMIF('Post-Test Entry'!$C$3:$AQ$3,Settings!$A$34,'Post-Test Entry'!$C150:$AQ150)/Settings!$C$34),"")</f>
        <v/>
      </c>
      <c r="AC150" s="37">
        <f>IF(OR(O150="",V150=""),"",V150-O150)</f>
        <v/>
      </c>
      <c r="AD150" s="37">
        <f>IF(OR(P150="",W150=""),"",W150-P150)</f>
        <v/>
      </c>
      <c r="AE150" s="37">
        <f>IF(OR(Q150="",X150=""),"",X150-Q150)</f>
        <v/>
      </c>
      <c r="AF150" s="37">
        <f>IF(OR(R150="",Y150=""),"",Y150-R150)</f>
        <v/>
      </c>
      <c r="AG150" s="37">
        <f>IF(OR(S150="",Z150=""),"",Z150-S150)</f>
        <v/>
      </c>
      <c r="AH150" s="37">
        <f>IF(OR(T150="",AA150=""),"",AA150-T150)</f>
        <v/>
      </c>
      <c r="AI150" s="37">
        <f>IF(OR(U150="",AB150=""),"",AB150-U150)</f>
        <v/>
      </c>
      <c r="AJ150" s="30">
        <f>IFERROR(IF($G150&lt;&gt;"",INDEX($V$4:$AB$4,MATCH(MIN($V150:$AB150),$V150:$AB150,0)),IF($D150&lt;&gt;"",INDEX($O$4:$U$4,MATCH(MIN($O150:$U150),$O150:$U150,0)),"")),"")</f>
        <v/>
      </c>
      <c r="AK150" s="30">
        <f>IFERROR(IF($G150&lt;&gt;"",INDEX($V$4:$AB$4,MATCH(SMALL($V150:$AB150,2),$V150:$AB150,0)),IF($D150&lt;&gt;"",INDEX($O$4:$U$4,MATCH(SMALL($O150:$U150,2),$O150:$U150,0)),"")),"")</f>
        <v/>
      </c>
      <c r="AL150" s="30">
        <f>IF(OR(G150="",Settings!$B$17=""),"",IF(OR(ABS(G150-Settings!$B$5)&lt;=Settings!$B$17,ABS(G150-Settings!$B$6)&lt;=Settings!$B$17,ABS(G150-Settings!$B$7)&lt;=Settings!$B$17),"NEAR CUT",""))</f>
        <v/>
      </c>
      <c r="AM150" s="31">
        <f>IF('Post-Test Entry'!$AR150&lt;&gt;"","Post essay: code "&amp;'Post-Test Entry'!$AR150,IF('Pre-Test Entry'!$AR150&lt;&gt;"","Pre essay: code "&amp;'Pre-Test Entry'!$AR150,""))</f>
        <v/>
      </c>
      <c r="AN150" s="39">
        <f>IFERROR(IF($AJ150="","",INDEX(Settings!$D$28:$D$34,MATCH($AJ150,Settings!$A$28:$A$34,0))),"")</f>
        <v/>
      </c>
      <c r="AP150">
        <f>IF(D150="","",D150^2)</f>
        <v/>
      </c>
      <c r="AQ150">
        <f>IF(G150="","",G150^2)</f>
        <v/>
      </c>
    </row>
    <row r="151">
      <c r="A151" s="30">
        <f>IF(Roster!$A151="","",Roster!$A151)</f>
        <v/>
      </c>
      <c r="B151" s="31">
        <f>IF(Roster!$B151&lt;&gt;"",Roster!$C151&amp;" "&amp;Roster!$B151,"")</f>
        <v/>
      </c>
      <c r="C151" s="30">
        <f>IF(Roster!$B151&lt;&gt;"",Roster!$D151,"")</f>
        <v/>
      </c>
      <c r="D151" s="16">
        <f>IF(AND(Roster!$B151&lt;&gt;"",COUNT('Pre-Test Entry'!$C151:$AQ151)&gt;0),'Pre-Test Entry'!$AS151,"")</f>
        <v/>
      </c>
      <c r="E151" s="37">
        <f>IFERROR(D151/Settings!$B$8,"")</f>
        <v/>
      </c>
      <c r="F151" s="31">
        <f>IF(D151="","",IF(D151&gt;=Settings!$B$7,"Distinguished Learner",IF(D151&gt;=Settings!$B$6,"Proficient Learner",IF(D151&gt;=Settings!$B$5,"Developing Learner","Beginning Learner"))))</f>
        <v/>
      </c>
      <c r="G151" s="16">
        <f>IF(AND(Roster!$B151&lt;&gt;"",COUNT('Post-Test Entry'!$C151:$AQ151)&gt;0),'Post-Test Entry'!$AS151,"")</f>
        <v/>
      </c>
      <c r="H151" s="37">
        <f>IFERROR(G151/Settings!$B$8,"")</f>
        <v/>
      </c>
      <c r="I151" s="31">
        <f>IF(G151="","",IF(G151&gt;=Settings!$B$7,"Distinguished Learner",IF(G151&gt;=Settings!$B$6,"Proficient Learner",IF(G151&gt;=Settings!$B$5,"Developing Learner","Beginning Learner"))))</f>
        <v/>
      </c>
      <c r="J151" s="16">
        <f>IF(OR(D151="",G151=""),"",G151-D151)</f>
        <v/>
      </c>
      <c r="K151" s="37">
        <f>IFERROR(IF(OR(J151="",J151&lt;=0),"",(G151-D151)/(Settings!$B$8-D151)),"")</f>
        <v/>
      </c>
      <c r="L151" s="38">
        <f>IFERROR(IF(J151="","",(G151-D151)/(Settings!$B$17*SQRT(2))),"")</f>
        <v/>
      </c>
      <c r="M151" s="30">
        <f>IF(L151="","",IF(ABS(L151)&gt;=1.96,"Yes","No"))</f>
        <v/>
      </c>
      <c r="N151" s="30">
        <f>IF(J151="","",IF(J151&gt;=Settings!$B$15,"Yes","No"))</f>
        <v/>
      </c>
      <c r="O151" s="37">
        <f>IFERROR(IF($D151="","",SUMIF('Pre-Test Entry'!$C$3:$AQ$3,Settings!$A$28,'Pre-Test Entry'!$C151:$AQ151)/Settings!$C$28),"")</f>
        <v/>
      </c>
      <c r="P151" s="37">
        <f>IFERROR(IF($D151="","",SUMIF('Pre-Test Entry'!$C$3:$AQ$3,Settings!$A$29,'Pre-Test Entry'!$C151:$AQ151)/Settings!$C$29),"")</f>
        <v/>
      </c>
      <c r="Q151" s="37">
        <f>IFERROR(IF($D151="","",SUMIF('Pre-Test Entry'!$C$3:$AQ$3,Settings!$A$30,'Pre-Test Entry'!$C151:$AQ151)/Settings!$C$30),"")</f>
        <v/>
      </c>
      <c r="R151" s="37">
        <f>IFERROR(IF($D151="","",SUMIF('Pre-Test Entry'!$C$3:$AQ$3,Settings!$A$31,'Pre-Test Entry'!$C151:$AQ151)/Settings!$C$31),"")</f>
        <v/>
      </c>
      <c r="S151" s="37">
        <f>IFERROR(IF($D151="","",SUMIF('Pre-Test Entry'!$C$3:$AQ$3,Settings!$A$32,'Pre-Test Entry'!$C151:$AQ151)/Settings!$C$32),"")</f>
        <v/>
      </c>
      <c r="T151" s="37">
        <f>IFERROR(IF($D151="","",SUMIF('Pre-Test Entry'!$C$3:$AQ$3,Settings!$A$33,'Pre-Test Entry'!$C151:$AQ151)/Settings!$C$33),"")</f>
        <v/>
      </c>
      <c r="U151" s="37">
        <f>IFERROR(IF($D151="","",SUMIF('Pre-Test Entry'!$C$3:$AQ$3,Settings!$A$34,'Pre-Test Entry'!$C151:$AQ151)/Settings!$C$34),"")</f>
        <v/>
      </c>
      <c r="V151" s="37">
        <f>IFERROR(IF($G151="","",SUMIF('Post-Test Entry'!$C$3:$AQ$3,Settings!$A$28,'Post-Test Entry'!$C151:$AQ151)/Settings!$C$28),"")</f>
        <v/>
      </c>
      <c r="W151" s="37">
        <f>IFERROR(IF($G151="","",SUMIF('Post-Test Entry'!$C$3:$AQ$3,Settings!$A$29,'Post-Test Entry'!$C151:$AQ151)/Settings!$C$29),"")</f>
        <v/>
      </c>
      <c r="X151" s="37">
        <f>IFERROR(IF($G151="","",SUMIF('Post-Test Entry'!$C$3:$AQ$3,Settings!$A$30,'Post-Test Entry'!$C151:$AQ151)/Settings!$C$30),"")</f>
        <v/>
      </c>
      <c r="Y151" s="37">
        <f>IFERROR(IF($G151="","",SUMIF('Post-Test Entry'!$C$3:$AQ$3,Settings!$A$31,'Post-Test Entry'!$C151:$AQ151)/Settings!$C$31),"")</f>
        <v/>
      </c>
      <c r="Z151" s="37">
        <f>IFERROR(IF($G151="","",SUMIF('Post-Test Entry'!$C$3:$AQ$3,Settings!$A$32,'Post-Test Entry'!$C151:$AQ151)/Settings!$C$32),"")</f>
        <v/>
      </c>
      <c r="AA151" s="37">
        <f>IFERROR(IF($G151="","",SUMIF('Post-Test Entry'!$C$3:$AQ$3,Settings!$A$33,'Post-Test Entry'!$C151:$AQ151)/Settings!$C$33),"")</f>
        <v/>
      </c>
      <c r="AB151" s="37">
        <f>IFERROR(IF($G151="","",SUMIF('Post-Test Entry'!$C$3:$AQ$3,Settings!$A$34,'Post-Test Entry'!$C151:$AQ151)/Settings!$C$34),"")</f>
        <v/>
      </c>
      <c r="AC151" s="37">
        <f>IF(OR(O151="",V151=""),"",V151-O151)</f>
        <v/>
      </c>
      <c r="AD151" s="37">
        <f>IF(OR(P151="",W151=""),"",W151-P151)</f>
        <v/>
      </c>
      <c r="AE151" s="37">
        <f>IF(OR(Q151="",X151=""),"",X151-Q151)</f>
        <v/>
      </c>
      <c r="AF151" s="37">
        <f>IF(OR(R151="",Y151=""),"",Y151-R151)</f>
        <v/>
      </c>
      <c r="AG151" s="37">
        <f>IF(OR(S151="",Z151=""),"",Z151-S151)</f>
        <v/>
      </c>
      <c r="AH151" s="37">
        <f>IF(OR(T151="",AA151=""),"",AA151-T151)</f>
        <v/>
      </c>
      <c r="AI151" s="37">
        <f>IF(OR(U151="",AB151=""),"",AB151-U151)</f>
        <v/>
      </c>
      <c r="AJ151" s="30">
        <f>IFERROR(IF($G151&lt;&gt;"",INDEX($V$4:$AB$4,MATCH(MIN($V151:$AB151),$V151:$AB151,0)),IF($D151&lt;&gt;"",INDEX($O$4:$U$4,MATCH(MIN($O151:$U151),$O151:$U151,0)),"")),"")</f>
        <v/>
      </c>
      <c r="AK151" s="30">
        <f>IFERROR(IF($G151&lt;&gt;"",INDEX($V$4:$AB$4,MATCH(SMALL($V151:$AB151,2),$V151:$AB151,0)),IF($D151&lt;&gt;"",INDEX($O$4:$U$4,MATCH(SMALL($O151:$U151,2),$O151:$U151,0)),"")),"")</f>
        <v/>
      </c>
      <c r="AL151" s="30">
        <f>IF(OR(G151="",Settings!$B$17=""),"",IF(OR(ABS(G151-Settings!$B$5)&lt;=Settings!$B$17,ABS(G151-Settings!$B$6)&lt;=Settings!$B$17,ABS(G151-Settings!$B$7)&lt;=Settings!$B$17),"NEAR CUT",""))</f>
        <v/>
      </c>
      <c r="AM151" s="31">
        <f>IF('Post-Test Entry'!$AR151&lt;&gt;"","Post essay: code "&amp;'Post-Test Entry'!$AR151,IF('Pre-Test Entry'!$AR151&lt;&gt;"","Pre essay: code "&amp;'Pre-Test Entry'!$AR151,""))</f>
        <v/>
      </c>
      <c r="AN151" s="39">
        <f>IFERROR(IF($AJ151="","",INDEX(Settings!$D$28:$D$34,MATCH($AJ151,Settings!$A$28:$A$34,0))),"")</f>
        <v/>
      </c>
      <c r="AP151">
        <f>IF(D151="","",D151^2)</f>
        <v/>
      </c>
      <c r="AQ151">
        <f>IF(G151="","",G151^2)</f>
        <v/>
      </c>
    </row>
    <row r="152">
      <c r="A152" s="30">
        <f>IF(Roster!$A152="","",Roster!$A152)</f>
        <v/>
      </c>
      <c r="B152" s="31">
        <f>IF(Roster!$B152&lt;&gt;"",Roster!$C152&amp;" "&amp;Roster!$B152,"")</f>
        <v/>
      </c>
      <c r="C152" s="30">
        <f>IF(Roster!$B152&lt;&gt;"",Roster!$D152,"")</f>
        <v/>
      </c>
      <c r="D152" s="16">
        <f>IF(AND(Roster!$B152&lt;&gt;"",COUNT('Pre-Test Entry'!$C152:$AQ152)&gt;0),'Pre-Test Entry'!$AS152,"")</f>
        <v/>
      </c>
      <c r="E152" s="37">
        <f>IFERROR(D152/Settings!$B$8,"")</f>
        <v/>
      </c>
      <c r="F152" s="31">
        <f>IF(D152="","",IF(D152&gt;=Settings!$B$7,"Distinguished Learner",IF(D152&gt;=Settings!$B$6,"Proficient Learner",IF(D152&gt;=Settings!$B$5,"Developing Learner","Beginning Learner"))))</f>
        <v/>
      </c>
      <c r="G152" s="16">
        <f>IF(AND(Roster!$B152&lt;&gt;"",COUNT('Post-Test Entry'!$C152:$AQ152)&gt;0),'Post-Test Entry'!$AS152,"")</f>
        <v/>
      </c>
      <c r="H152" s="37">
        <f>IFERROR(G152/Settings!$B$8,"")</f>
        <v/>
      </c>
      <c r="I152" s="31">
        <f>IF(G152="","",IF(G152&gt;=Settings!$B$7,"Distinguished Learner",IF(G152&gt;=Settings!$B$6,"Proficient Learner",IF(G152&gt;=Settings!$B$5,"Developing Learner","Beginning Learner"))))</f>
        <v/>
      </c>
      <c r="J152" s="16">
        <f>IF(OR(D152="",G152=""),"",G152-D152)</f>
        <v/>
      </c>
      <c r="K152" s="37">
        <f>IFERROR(IF(OR(J152="",J152&lt;=0),"",(G152-D152)/(Settings!$B$8-D152)),"")</f>
        <v/>
      </c>
      <c r="L152" s="38">
        <f>IFERROR(IF(J152="","",(G152-D152)/(Settings!$B$17*SQRT(2))),"")</f>
        <v/>
      </c>
      <c r="M152" s="30">
        <f>IF(L152="","",IF(ABS(L152)&gt;=1.96,"Yes","No"))</f>
        <v/>
      </c>
      <c r="N152" s="30">
        <f>IF(J152="","",IF(J152&gt;=Settings!$B$15,"Yes","No"))</f>
        <v/>
      </c>
      <c r="O152" s="37">
        <f>IFERROR(IF($D152="","",SUMIF('Pre-Test Entry'!$C$3:$AQ$3,Settings!$A$28,'Pre-Test Entry'!$C152:$AQ152)/Settings!$C$28),"")</f>
        <v/>
      </c>
      <c r="P152" s="37">
        <f>IFERROR(IF($D152="","",SUMIF('Pre-Test Entry'!$C$3:$AQ$3,Settings!$A$29,'Pre-Test Entry'!$C152:$AQ152)/Settings!$C$29),"")</f>
        <v/>
      </c>
      <c r="Q152" s="37">
        <f>IFERROR(IF($D152="","",SUMIF('Pre-Test Entry'!$C$3:$AQ$3,Settings!$A$30,'Pre-Test Entry'!$C152:$AQ152)/Settings!$C$30),"")</f>
        <v/>
      </c>
      <c r="R152" s="37">
        <f>IFERROR(IF($D152="","",SUMIF('Pre-Test Entry'!$C$3:$AQ$3,Settings!$A$31,'Pre-Test Entry'!$C152:$AQ152)/Settings!$C$31),"")</f>
        <v/>
      </c>
      <c r="S152" s="37">
        <f>IFERROR(IF($D152="","",SUMIF('Pre-Test Entry'!$C$3:$AQ$3,Settings!$A$32,'Pre-Test Entry'!$C152:$AQ152)/Settings!$C$32),"")</f>
        <v/>
      </c>
      <c r="T152" s="37">
        <f>IFERROR(IF($D152="","",SUMIF('Pre-Test Entry'!$C$3:$AQ$3,Settings!$A$33,'Pre-Test Entry'!$C152:$AQ152)/Settings!$C$33),"")</f>
        <v/>
      </c>
      <c r="U152" s="37">
        <f>IFERROR(IF($D152="","",SUMIF('Pre-Test Entry'!$C$3:$AQ$3,Settings!$A$34,'Pre-Test Entry'!$C152:$AQ152)/Settings!$C$34),"")</f>
        <v/>
      </c>
      <c r="V152" s="37">
        <f>IFERROR(IF($G152="","",SUMIF('Post-Test Entry'!$C$3:$AQ$3,Settings!$A$28,'Post-Test Entry'!$C152:$AQ152)/Settings!$C$28),"")</f>
        <v/>
      </c>
      <c r="W152" s="37">
        <f>IFERROR(IF($G152="","",SUMIF('Post-Test Entry'!$C$3:$AQ$3,Settings!$A$29,'Post-Test Entry'!$C152:$AQ152)/Settings!$C$29),"")</f>
        <v/>
      </c>
      <c r="X152" s="37">
        <f>IFERROR(IF($G152="","",SUMIF('Post-Test Entry'!$C$3:$AQ$3,Settings!$A$30,'Post-Test Entry'!$C152:$AQ152)/Settings!$C$30),"")</f>
        <v/>
      </c>
      <c r="Y152" s="37">
        <f>IFERROR(IF($G152="","",SUMIF('Post-Test Entry'!$C$3:$AQ$3,Settings!$A$31,'Post-Test Entry'!$C152:$AQ152)/Settings!$C$31),"")</f>
        <v/>
      </c>
      <c r="Z152" s="37">
        <f>IFERROR(IF($G152="","",SUMIF('Post-Test Entry'!$C$3:$AQ$3,Settings!$A$32,'Post-Test Entry'!$C152:$AQ152)/Settings!$C$32),"")</f>
        <v/>
      </c>
      <c r="AA152" s="37">
        <f>IFERROR(IF($G152="","",SUMIF('Post-Test Entry'!$C$3:$AQ$3,Settings!$A$33,'Post-Test Entry'!$C152:$AQ152)/Settings!$C$33),"")</f>
        <v/>
      </c>
      <c r="AB152" s="37">
        <f>IFERROR(IF($G152="","",SUMIF('Post-Test Entry'!$C$3:$AQ$3,Settings!$A$34,'Post-Test Entry'!$C152:$AQ152)/Settings!$C$34),"")</f>
        <v/>
      </c>
      <c r="AC152" s="37">
        <f>IF(OR(O152="",V152=""),"",V152-O152)</f>
        <v/>
      </c>
      <c r="AD152" s="37">
        <f>IF(OR(P152="",W152=""),"",W152-P152)</f>
        <v/>
      </c>
      <c r="AE152" s="37">
        <f>IF(OR(Q152="",X152=""),"",X152-Q152)</f>
        <v/>
      </c>
      <c r="AF152" s="37">
        <f>IF(OR(R152="",Y152=""),"",Y152-R152)</f>
        <v/>
      </c>
      <c r="AG152" s="37">
        <f>IF(OR(S152="",Z152=""),"",Z152-S152)</f>
        <v/>
      </c>
      <c r="AH152" s="37">
        <f>IF(OR(T152="",AA152=""),"",AA152-T152)</f>
        <v/>
      </c>
      <c r="AI152" s="37">
        <f>IF(OR(U152="",AB152=""),"",AB152-U152)</f>
        <v/>
      </c>
      <c r="AJ152" s="30">
        <f>IFERROR(IF($G152&lt;&gt;"",INDEX($V$4:$AB$4,MATCH(MIN($V152:$AB152),$V152:$AB152,0)),IF($D152&lt;&gt;"",INDEX($O$4:$U$4,MATCH(MIN($O152:$U152),$O152:$U152,0)),"")),"")</f>
        <v/>
      </c>
      <c r="AK152" s="30">
        <f>IFERROR(IF($G152&lt;&gt;"",INDEX($V$4:$AB$4,MATCH(SMALL($V152:$AB152,2),$V152:$AB152,0)),IF($D152&lt;&gt;"",INDEX($O$4:$U$4,MATCH(SMALL($O152:$U152,2),$O152:$U152,0)),"")),"")</f>
        <v/>
      </c>
      <c r="AL152" s="30">
        <f>IF(OR(G152="",Settings!$B$17=""),"",IF(OR(ABS(G152-Settings!$B$5)&lt;=Settings!$B$17,ABS(G152-Settings!$B$6)&lt;=Settings!$B$17,ABS(G152-Settings!$B$7)&lt;=Settings!$B$17),"NEAR CUT",""))</f>
        <v/>
      </c>
      <c r="AM152" s="31">
        <f>IF('Post-Test Entry'!$AR152&lt;&gt;"","Post essay: code "&amp;'Post-Test Entry'!$AR152,IF('Pre-Test Entry'!$AR152&lt;&gt;"","Pre essay: code "&amp;'Pre-Test Entry'!$AR152,""))</f>
        <v/>
      </c>
      <c r="AN152" s="39">
        <f>IFERROR(IF($AJ152="","",INDEX(Settings!$D$28:$D$34,MATCH($AJ152,Settings!$A$28:$A$34,0))),"")</f>
        <v/>
      </c>
      <c r="AP152">
        <f>IF(D152="","",D152^2)</f>
        <v/>
      </c>
      <c r="AQ152">
        <f>IF(G152="","",G152^2)</f>
        <v/>
      </c>
    </row>
    <row r="153">
      <c r="A153" s="30">
        <f>IF(Roster!$A153="","",Roster!$A153)</f>
        <v/>
      </c>
      <c r="B153" s="31">
        <f>IF(Roster!$B153&lt;&gt;"",Roster!$C153&amp;" "&amp;Roster!$B153,"")</f>
        <v/>
      </c>
      <c r="C153" s="30">
        <f>IF(Roster!$B153&lt;&gt;"",Roster!$D153,"")</f>
        <v/>
      </c>
      <c r="D153" s="16">
        <f>IF(AND(Roster!$B153&lt;&gt;"",COUNT('Pre-Test Entry'!$C153:$AQ153)&gt;0),'Pre-Test Entry'!$AS153,"")</f>
        <v/>
      </c>
      <c r="E153" s="37">
        <f>IFERROR(D153/Settings!$B$8,"")</f>
        <v/>
      </c>
      <c r="F153" s="31">
        <f>IF(D153="","",IF(D153&gt;=Settings!$B$7,"Distinguished Learner",IF(D153&gt;=Settings!$B$6,"Proficient Learner",IF(D153&gt;=Settings!$B$5,"Developing Learner","Beginning Learner"))))</f>
        <v/>
      </c>
      <c r="G153" s="16">
        <f>IF(AND(Roster!$B153&lt;&gt;"",COUNT('Post-Test Entry'!$C153:$AQ153)&gt;0),'Post-Test Entry'!$AS153,"")</f>
        <v/>
      </c>
      <c r="H153" s="37">
        <f>IFERROR(G153/Settings!$B$8,"")</f>
        <v/>
      </c>
      <c r="I153" s="31">
        <f>IF(G153="","",IF(G153&gt;=Settings!$B$7,"Distinguished Learner",IF(G153&gt;=Settings!$B$6,"Proficient Learner",IF(G153&gt;=Settings!$B$5,"Developing Learner","Beginning Learner"))))</f>
        <v/>
      </c>
      <c r="J153" s="16">
        <f>IF(OR(D153="",G153=""),"",G153-D153)</f>
        <v/>
      </c>
      <c r="K153" s="37">
        <f>IFERROR(IF(OR(J153="",J153&lt;=0),"",(G153-D153)/(Settings!$B$8-D153)),"")</f>
        <v/>
      </c>
      <c r="L153" s="38">
        <f>IFERROR(IF(J153="","",(G153-D153)/(Settings!$B$17*SQRT(2))),"")</f>
        <v/>
      </c>
      <c r="M153" s="30">
        <f>IF(L153="","",IF(ABS(L153)&gt;=1.96,"Yes","No"))</f>
        <v/>
      </c>
      <c r="N153" s="30">
        <f>IF(J153="","",IF(J153&gt;=Settings!$B$15,"Yes","No"))</f>
        <v/>
      </c>
      <c r="O153" s="37">
        <f>IFERROR(IF($D153="","",SUMIF('Pre-Test Entry'!$C$3:$AQ$3,Settings!$A$28,'Pre-Test Entry'!$C153:$AQ153)/Settings!$C$28),"")</f>
        <v/>
      </c>
      <c r="P153" s="37">
        <f>IFERROR(IF($D153="","",SUMIF('Pre-Test Entry'!$C$3:$AQ$3,Settings!$A$29,'Pre-Test Entry'!$C153:$AQ153)/Settings!$C$29),"")</f>
        <v/>
      </c>
      <c r="Q153" s="37">
        <f>IFERROR(IF($D153="","",SUMIF('Pre-Test Entry'!$C$3:$AQ$3,Settings!$A$30,'Pre-Test Entry'!$C153:$AQ153)/Settings!$C$30),"")</f>
        <v/>
      </c>
      <c r="R153" s="37">
        <f>IFERROR(IF($D153="","",SUMIF('Pre-Test Entry'!$C$3:$AQ$3,Settings!$A$31,'Pre-Test Entry'!$C153:$AQ153)/Settings!$C$31),"")</f>
        <v/>
      </c>
      <c r="S153" s="37">
        <f>IFERROR(IF($D153="","",SUMIF('Pre-Test Entry'!$C$3:$AQ$3,Settings!$A$32,'Pre-Test Entry'!$C153:$AQ153)/Settings!$C$32),"")</f>
        <v/>
      </c>
      <c r="T153" s="37">
        <f>IFERROR(IF($D153="","",SUMIF('Pre-Test Entry'!$C$3:$AQ$3,Settings!$A$33,'Pre-Test Entry'!$C153:$AQ153)/Settings!$C$33),"")</f>
        <v/>
      </c>
      <c r="U153" s="37">
        <f>IFERROR(IF($D153="","",SUMIF('Pre-Test Entry'!$C$3:$AQ$3,Settings!$A$34,'Pre-Test Entry'!$C153:$AQ153)/Settings!$C$34),"")</f>
        <v/>
      </c>
      <c r="V153" s="37">
        <f>IFERROR(IF($G153="","",SUMIF('Post-Test Entry'!$C$3:$AQ$3,Settings!$A$28,'Post-Test Entry'!$C153:$AQ153)/Settings!$C$28),"")</f>
        <v/>
      </c>
      <c r="W153" s="37">
        <f>IFERROR(IF($G153="","",SUMIF('Post-Test Entry'!$C$3:$AQ$3,Settings!$A$29,'Post-Test Entry'!$C153:$AQ153)/Settings!$C$29),"")</f>
        <v/>
      </c>
      <c r="X153" s="37">
        <f>IFERROR(IF($G153="","",SUMIF('Post-Test Entry'!$C$3:$AQ$3,Settings!$A$30,'Post-Test Entry'!$C153:$AQ153)/Settings!$C$30),"")</f>
        <v/>
      </c>
      <c r="Y153" s="37">
        <f>IFERROR(IF($G153="","",SUMIF('Post-Test Entry'!$C$3:$AQ$3,Settings!$A$31,'Post-Test Entry'!$C153:$AQ153)/Settings!$C$31),"")</f>
        <v/>
      </c>
      <c r="Z153" s="37">
        <f>IFERROR(IF($G153="","",SUMIF('Post-Test Entry'!$C$3:$AQ$3,Settings!$A$32,'Post-Test Entry'!$C153:$AQ153)/Settings!$C$32),"")</f>
        <v/>
      </c>
      <c r="AA153" s="37">
        <f>IFERROR(IF($G153="","",SUMIF('Post-Test Entry'!$C$3:$AQ$3,Settings!$A$33,'Post-Test Entry'!$C153:$AQ153)/Settings!$C$33),"")</f>
        <v/>
      </c>
      <c r="AB153" s="37">
        <f>IFERROR(IF($G153="","",SUMIF('Post-Test Entry'!$C$3:$AQ$3,Settings!$A$34,'Post-Test Entry'!$C153:$AQ153)/Settings!$C$34),"")</f>
        <v/>
      </c>
      <c r="AC153" s="37">
        <f>IF(OR(O153="",V153=""),"",V153-O153)</f>
        <v/>
      </c>
      <c r="AD153" s="37">
        <f>IF(OR(P153="",W153=""),"",W153-P153)</f>
        <v/>
      </c>
      <c r="AE153" s="37">
        <f>IF(OR(Q153="",X153=""),"",X153-Q153)</f>
        <v/>
      </c>
      <c r="AF153" s="37">
        <f>IF(OR(R153="",Y153=""),"",Y153-R153)</f>
        <v/>
      </c>
      <c r="AG153" s="37">
        <f>IF(OR(S153="",Z153=""),"",Z153-S153)</f>
        <v/>
      </c>
      <c r="AH153" s="37">
        <f>IF(OR(T153="",AA153=""),"",AA153-T153)</f>
        <v/>
      </c>
      <c r="AI153" s="37">
        <f>IF(OR(U153="",AB153=""),"",AB153-U153)</f>
        <v/>
      </c>
      <c r="AJ153" s="30">
        <f>IFERROR(IF($G153&lt;&gt;"",INDEX($V$4:$AB$4,MATCH(MIN($V153:$AB153),$V153:$AB153,0)),IF($D153&lt;&gt;"",INDEX($O$4:$U$4,MATCH(MIN($O153:$U153),$O153:$U153,0)),"")),"")</f>
        <v/>
      </c>
      <c r="AK153" s="30">
        <f>IFERROR(IF($G153&lt;&gt;"",INDEX($V$4:$AB$4,MATCH(SMALL($V153:$AB153,2),$V153:$AB153,0)),IF($D153&lt;&gt;"",INDEX($O$4:$U$4,MATCH(SMALL($O153:$U153,2),$O153:$U153,0)),"")),"")</f>
        <v/>
      </c>
      <c r="AL153" s="30">
        <f>IF(OR(G153="",Settings!$B$17=""),"",IF(OR(ABS(G153-Settings!$B$5)&lt;=Settings!$B$17,ABS(G153-Settings!$B$6)&lt;=Settings!$B$17,ABS(G153-Settings!$B$7)&lt;=Settings!$B$17),"NEAR CUT",""))</f>
        <v/>
      </c>
      <c r="AM153" s="31">
        <f>IF('Post-Test Entry'!$AR153&lt;&gt;"","Post essay: code "&amp;'Post-Test Entry'!$AR153,IF('Pre-Test Entry'!$AR153&lt;&gt;"","Pre essay: code "&amp;'Pre-Test Entry'!$AR153,""))</f>
        <v/>
      </c>
      <c r="AN153" s="39">
        <f>IFERROR(IF($AJ153="","",INDEX(Settings!$D$28:$D$34,MATCH($AJ153,Settings!$A$28:$A$34,0))),"")</f>
        <v/>
      </c>
      <c r="AP153">
        <f>IF(D153="","",D153^2)</f>
        <v/>
      </c>
      <c r="AQ153">
        <f>IF(G153="","",G153^2)</f>
        <v/>
      </c>
    </row>
    <row r="154">
      <c r="A154" s="30">
        <f>IF(Roster!$A154="","",Roster!$A154)</f>
        <v/>
      </c>
      <c r="B154" s="31">
        <f>IF(Roster!$B154&lt;&gt;"",Roster!$C154&amp;" "&amp;Roster!$B154,"")</f>
        <v/>
      </c>
      <c r="C154" s="30">
        <f>IF(Roster!$B154&lt;&gt;"",Roster!$D154,"")</f>
        <v/>
      </c>
      <c r="D154" s="16">
        <f>IF(AND(Roster!$B154&lt;&gt;"",COUNT('Pre-Test Entry'!$C154:$AQ154)&gt;0),'Pre-Test Entry'!$AS154,"")</f>
        <v/>
      </c>
      <c r="E154" s="37">
        <f>IFERROR(D154/Settings!$B$8,"")</f>
        <v/>
      </c>
      <c r="F154" s="31">
        <f>IF(D154="","",IF(D154&gt;=Settings!$B$7,"Distinguished Learner",IF(D154&gt;=Settings!$B$6,"Proficient Learner",IF(D154&gt;=Settings!$B$5,"Developing Learner","Beginning Learner"))))</f>
        <v/>
      </c>
      <c r="G154" s="16">
        <f>IF(AND(Roster!$B154&lt;&gt;"",COUNT('Post-Test Entry'!$C154:$AQ154)&gt;0),'Post-Test Entry'!$AS154,"")</f>
        <v/>
      </c>
      <c r="H154" s="37">
        <f>IFERROR(G154/Settings!$B$8,"")</f>
        <v/>
      </c>
      <c r="I154" s="31">
        <f>IF(G154="","",IF(G154&gt;=Settings!$B$7,"Distinguished Learner",IF(G154&gt;=Settings!$B$6,"Proficient Learner",IF(G154&gt;=Settings!$B$5,"Developing Learner","Beginning Learner"))))</f>
        <v/>
      </c>
      <c r="J154" s="16">
        <f>IF(OR(D154="",G154=""),"",G154-D154)</f>
        <v/>
      </c>
      <c r="K154" s="37">
        <f>IFERROR(IF(OR(J154="",J154&lt;=0),"",(G154-D154)/(Settings!$B$8-D154)),"")</f>
        <v/>
      </c>
      <c r="L154" s="38">
        <f>IFERROR(IF(J154="","",(G154-D154)/(Settings!$B$17*SQRT(2))),"")</f>
        <v/>
      </c>
      <c r="M154" s="30">
        <f>IF(L154="","",IF(ABS(L154)&gt;=1.96,"Yes","No"))</f>
        <v/>
      </c>
      <c r="N154" s="30">
        <f>IF(J154="","",IF(J154&gt;=Settings!$B$15,"Yes","No"))</f>
        <v/>
      </c>
      <c r="O154" s="37">
        <f>IFERROR(IF($D154="","",SUMIF('Pre-Test Entry'!$C$3:$AQ$3,Settings!$A$28,'Pre-Test Entry'!$C154:$AQ154)/Settings!$C$28),"")</f>
        <v/>
      </c>
      <c r="P154" s="37">
        <f>IFERROR(IF($D154="","",SUMIF('Pre-Test Entry'!$C$3:$AQ$3,Settings!$A$29,'Pre-Test Entry'!$C154:$AQ154)/Settings!$C$29),"")</f>
        <v/>
      </c>
      <c r="Q154" s="37">
        <f>IFERROR(IF($D154="","",SUMIF('Pre-Test Entry'!$C$3:$AQ$3,Settings!$A$30,'Pre-Test Entry'!$C154:$AQ154)/Settings!$C$30),"")</f>
        <v/>
      </c>
      <c r="R154" s="37">
        <f>IFERROR(IF($D154="","",SUMIF('Pre-Test Entry'!$C$3:$AQ$3,Settings!$A$31,'Pre-Test Entry'!$C154:$AQ154)/Settings!$C$31),"")</f>
        <v/>
      </c>
      <c r="S154" s="37">
        <f>IFERROR(IF($D154="","",SUMIF('Pre-Test Entry'!$C$3:$AQ$3,Settings!$A$32,'Pre-Test Entry'!$C154:$AQ154)/Settings!$C$32),"")</f>
        <v/>
      </c>
      <c r="T154" s="37">
        <f>IFERROR(IF($D154="","",SUMIF('Pre-Test Entry'!$C$3:$AQ$3,Settings!$A$33,'Pre-Test Entry'!$C154:$AQ154)/Settings!$C$33),"")</f>
        <v/>
      </c>
      <c r="U154" s="37">
        <f>IFERROR(IF($D154="","",SUMIF('Pre-Test Entry'!$C$3:$AQ$3,Settings!$A$34,'Pre-Test Entry'!$C154:$AQ154)/Settings!$C$34),"")</f>
        <v/>
      </c>
      <c r="V154" s="37">
        <f>IFERROR(IF($G154="","",SUMIF('Post-Test Entry'!$C$3:$AQ$3,Settings!$A$28,'Post-Test Entry'!$C154:$AQ154)/Settings!$C$28),"")</f>
        <v/>
      </c>
      <c r="W154" s="37">
        <f>IFERROR(IF($G154="","",SUMIF('Post-Test Entry'!$C$3:$AQ$3,Settings!$A$29,'Post-Test Entry'!$C154:$AQ154)/Settings!$C$29),"")</f>
        <v/>
      </c>
      <c r="X154" s="37">
        <f>IFERROR(IF($G154="","",SUMIF('Post-Test Entry'!$C$3:$AQ$3,Settings!$A$30,'Post-Test Entry'!$C154:$AQ154)/Settings!$C$30),"")</f>
        <v/>
      </c>
      <c r="Y154" s="37">
        <f>IFERROR(IF($G154="","",SUMIF('Post-Test Entry'!$C$3:$AQ$3,Settings!$A$31,'Post-Test Entry'!$C154:$AQ154)/Settings!$C$31),"")</f>
        <v/>
      </c>
      <c r="Z154" s="37">
        <f>IFERROR(IF($G154="","",SUMIF('Post-Test Entry'!$C$3:$AQ$3,Settings!$A$32,'Post-Test Entry'!$C154:$AQ154)/Settings!$C$32),"")</f>
        <v/>
      </c>
      <c r="AA154" s="37">
        <f>IFERROR(IF($G154="","",SUMIF('Post-Test Entry'!$C$3:$AQ$3,Settings!$A$33,'Post-Test Entry'!$C154:$AQ154)/Settings!$C$33),"")</f>
        <v/>
      </c>
      <c r="AB154" s="37">
        <f>IFERROR(IF($G154="","",SUMIF('Post-Test Entry'!$C$3:$AQ$3,Settings!$A$34,'Post-Test Entry'!$C154:$AQ154)/Settings!$C$34),"")</f>
        <v/>
      </c>
      <c r="AC154" s="37">
        <f>IF(OR(O154="",V154=""),"",V154-O154)</f>
        <v/>
      </c>
      <c r="AD154" s="37">
        <f>IF(OR(P154="",W154=""),"",W154-P154)</f>
        <v/>
      </c>
      <c r="AE154" s="37">
        <f>IF(OR(Q154="",X154=""),"",X154-Q154)</f>
        <v/>
      </c>
      <c r="AF154" s="37">
        <f>IF(OR(R154="",Y154=""),"",Y154-R154)</f>
        <v/>
      </c>
      <c r="AG154" s="37">
        <f>IF(OR(S154="",Z154=""),"",Z154-S154)</f>
        <v/>
      </c>
      <c r="AH154" s="37">
        <f>IF(OR(T154="",AA154=""),"",AA154-T154)</f>
        <v/>
      </c>
      <c r="AI154" s="37">
        <f>IF(OR(U154="",AB154=""),"",AB154-U154)</f>
        <v/>
      </c>
      <c r="AJ154" s="30">
        <f>IFERROR(IF($G154&lt;&gt;"",INDEX($V$4:$AB$4,MATCH(MIN($V154:$AB154),$V154:$AB154,0)),IF($D154&lt;&gt;"",INDEX($O$4:$U$4,MATCH(MIN($O154:$U154),$O154:$U154,0)),"")),"")</f>
        <v/>
      </c>
      <c r="AK154" s="30">
        <f>IFERROR(IF($G154&lt;&gt;"",INDEX($V$4:$AB$4,MATCH(SMALL($V154:$AB154,2),$V154:$AB154,0)),IF($D154&lt;&gt;"",INDEX($O$4:$U$4,MATCH(SMALL($O154:$U154,2),$O154:$U154,0)),"")),"")</f>
        <v/>
      </c>
      <c r="AL154" s="30">
        <f>IF(OR(G154="",Settings!$B$17=""),"",IF(OR(ABS(G154-Settings!$B$5)&lt;=Settings!$B$17,ABS(G154-Settings!$B$6)&lt;=Settings!$B$17,ABS(G154-Settings!$B$7)&lt;=Settings!$B$17),"NEAR CUT",""))</f>
        <v/>
      </c>
      <c r="AM154" s="31">
        <f>IF('Post-Test Entry'!$AR154&lt;&gt;"","Post essay: code "&amp;'Post-Test Entry'!$AR154,IF('Pre-Test Entry'!$AR154&lt;&gt;"","Pre essay: code "&amp;'Pre-Test Entry'!$AR154,""))</f>
        <v/>
      </c>
      <c r="AN154" s="39">
        <f>IFERROR(IF($AJ154="","",INDEX(Settings!$D$28:$D$34,MATCH($AJ154,Settings!$A$28:$A$34,0))),"")</f>
        <v/>
      </c>
      <c r="AP154">
        <f>IF(D154="","",D154^2)</f>
        <v/>
      </c>
      <c r="AQ154">
        <f>IF(G154="","",G154^2)</f>
        <v/>
      </c>
    </row>
    <row r="155">
      <c r="A155" s="30">
        <f>IF(Roster!$A155="","",Roster!$A155)</f>
        <v/>
      </c>
      <c r="B155" s="31">
        <f>IF(Roster!$B155&lt;&gt;"",Roster!$C155&amp;" "&amp;Roster!$B155,"")</f>
        <v/>
      </c>
      <c r="C155" s="30">
        <f>IF(Roster!$B155&lt;&gt;"",Roster!$D155,"")</f>
        <v/>
      </c>
      <c r="D155" s="16">
        <f>IF(AND(Roster!$B155&lt;&gt;"",COUNT('Pre-Test Entry'!$C155:$AQ155)&gt;0),'Pre-Test Entry'!$AS155,"")</f>
        <v/>
      </c>
      <c r="E155" s="37">
        <f>IFERROR(D155/Settings!$B$8,"")</f>
        <v/>
      </c>
      <c r="F155" s="31">
        <f>IF(D155="","",IF(D155&gt;=Settings!$B$7,"Distinguished Learner",IF(D155&gt;=Settings!$B$6,"Proficient Learner",IF(D155&gt;=Settings!$B$5,"Developing Learner","Beginning Learner"))))</f>
        <v/>
      </c>
      <c r="G155" s="16">
        <f>IF(AND(Roster!$B155&lt;&gt;"",COUNT('Post-Test Entry'!$C155:$AQ155)&gt;0),'Post-Test Entry'!$AS155,"")</f>
        <v/>
      </c>
      <c r="H155" s="37">
        <f>IFERROR(G155/Settings!$B$8,"")</f>
        <v/>
      </c>
      <c r="I155" s="31">
        <f>IF(G155="","",IF(G155&gt;=Settings!$B$7,"Distinguished Learner",IF(G155&gt;=Settings!$B$6,"Proficient Learner",IF(G155&gt;=Settings!$B$5,"Developing Learner","Beginning Learner"))))</f>
        <v/>
      </c>
      <c r="J155" s="16">
        <f>IF(OR(D155="",G155=""),"",G155-D155)</f>
        <v/>
      </c>
      <c r="K155" s="37">
        <f>IFERROR(IF(OR(J155="",J155&lt;=0),"",(G155-D155)/(Settings!$B$8-D155)),"")</f>
        <v/>
      </c>
      <c r="L155" s="38">
        <f>IFERROR(IF(J155="","",(G155-D155)/(Settings!$B$17*SQRT(2))),"")</f>
        <v/>
      </c>
      <c r="M155" s="30">
        <f>IF(L155="","",IF(ABS(L155)&gt;=1.96,"Yes","No"))</f>
        <v/>
      </c>
      <c r="N155" s="30">
        <f>IF(J155="","",IF(J155&gt;=Settings!$B$15,"Yes","No"))</f>
        <v/>
      </c>
      <c r="O155" s="37">
        <f>IFERROR(IF($D155="","",SUMIF('Pre-Test Entry'!$C$3:$AQ$3,Settings!$A$28,'Pre-Test Entry'!$C155:$AQ155)/Settings!$C$28),"")</f>
        <v/>
      </c>
      <c r="P155" s="37">
        <f>IFERROR(IF($D155="","",SUMIF('Pre-Test Entry'!$C$3:$AQ$3,Settings!$A$29,'Pre-Test Entry'!$C155:$AQ155)/Settings!$C$29),"")</f>
        <v/>
      </c>
      <c r="Q155" s="37">
        <f>IFERROR(IF($D155="","",SUMIF('Pre-Test Entry'!$C$3:$AQ$3,Settings!$A$30,'Pre-Test Entry'!$C155:$AQ155)/Settings!$C$30),"")</f>
        <v/>
      </c>
      <c r="R155" s="37">
        <f>IFERROR(IF($D155="","",SUMIF('Pre-Test Entry'!$C$3:$AQ$3,Settings!$A$31,'Pre-Test Entry'!$C155:$AQ155)/Settings!$C$31),"")</f>
        <v/>
      </c>
      <c r="S155" s="37">
        <f>IFERROR(IF($D155="","",SUMIF('Pre-Test Entry'!$C$3:$AQ$3,Settings!$A$32,'Pre-Test Entry'!$C155:$AQ155)/Settings!$C$32),"")</f>
        <v/>
      </c>
      <c r="T155" s="37">
        <f>IFERROR(IF($D155="","",SUMIF('Pre-Test Entry'!$C$3:$AQ$3,Settings!$A$33,'Pre-Test Entry'!$C155:$AQ155)/Settings!$C$33),"")</f>
        <v/>
      </c>
      <c r="U155" s="37">
        <f>IFERROR(IF($D155="","",SUMIF('Pre-Test Entry'!$C$3:$AQ$3,Settings!$A$34,'Pre-Test Entry'!$C155:$AQ155)/Settings!$C$34),"")</f>
        <v/>
      </c>
      <c r="V155" s="37">
        <f>IFERROR(IF($G155="","",SUMIF('Post-Test Entry'!$C$3:$AQ$3,Settings!$A$28,'Post-Test Entry'!$C155:$AQ155)/Settings!$C$28),"")</f>
        <v/>
      </c>
      <c r="W155" s="37">
        <f>IFERROR(IF($G155="","",SUMIF('Post-Test Entry'!$C$3:$AQ$3,Settings!$A$29,'Post-Test Entry'!$C155:$AQ155)/Settings!$C$29),"")</f>
        <v/>
      </c>
      <c r="X155" s="37">
        <f>IFERROR(IF($G155="","",SUMIF('Post-Test Entry'!$C$3:$AQ$3,Settings!$A$30,'Post-Test Entry'!$C155:$AQ155)/Settings!$C$30),"")</f>
        <v/>
      </c>
      <c r="Y155" s="37">
        <f>IFERROR(IF($G155="","",SUMIF('Post-Test Entry'!$C$3:$AQ$3,Settings!$A$31,'Post-Test Entry'!$C155:$AQ155)/Settings!$C$31),"")</f>
        <v/>
      </c>
      <c r="Z155" s="37">
        <f>IFERROR(IF($G155="","",SUMIF('Post-Test Entry'!$C$3:$AQ$3,Settings!$A$32,'Post-Test Entry'!$C155:$AQ155)/Settings!$C$32),"")</f>
        <v/>
      </c>
      <c r="AA155" s="37">
        <f>IFERROR(IF($G155="","",SUMIF('Post-Test Entry'!$C$3:$AQ$3,Settings!$A$33,'Post-Test Entry'!$C155:$AQ155)/Settings!$C$33),"")</f>
        <v/>
      </c>
      <c r="AB155" s="37">
        <f>IFERROR(IF($G155="","",SUMIF('Post-Test Entry'!$C$3:$AQ$3,Settings!$A$34,'Post-Test Entry'!$C155:$AQ155)/Settings!$C$34),"")</f>
        <v/>
      </c>
      <c r="AC155" s="37">
        <f>IF(OR(O155="",V155=""),"",V155-O155)</f>
        <v/>
      </c>
      <c r="AD155" s="37">
        <f>IF(OR(P155="",W155=""),"",W155-P155)</f>
        <v/>
      </c>
      <c r="AE155" s="37">
        <f>IF(OR(Q155="",X155=""),"",X155-Q155)</f>
        <v/>
      </c>
      <c r="AF155" s="37">
        <f>IF(OR(R155="",Y155=""),"",Y155-R155)</f>
        <v/>
      </c>
      <c r="AG155" s="37">
        <f>IF(OR(S155="",Z155=""),"",Z155-S155)</f>
        <v/>
      </c>
      <c r="AH155" s="37">
        <f>IF(OR(T155="",AA155=""),"",AA155-T155)</f>
        <v/>
      </c>
      <c r="AI155" s="37">
        <f>IF(OR(U155="",AB155=""),"",AB155-U155)</f>
        <v/>
      </c>
      <c r="AJ155" s="30">
        <f>IFERROR(IF($G155&lt;&gt;"",INDEX($V$4:$AB$4,MATCH(MIN($V155:$AB155),$V155:$AB155,0)),IF($D155&lt;&gt;"",INDEX($O$4:$U$4,MATCH(MIN($O155:$U155),$O155:$U155,0)),"")),"")</f>
        <v/>
      </c>
      <c r="AK155" s="30">
        <f>IFERROR(IF($G155&lt;&gt;"",INDEX($V$4:$AB$4,MATCH(SMALL($V155:$AB155,2),$V155:$AB155,0)),IF($D155&lt;&gt;"",INDEX($O$4:$U$4,MATCH(SMALL($O155:$U155,2),$O155:$U155,0)),"")),"")</f>
        <v/>
      </c>
      <c r="AL155" s="30">
        <f>IF(OR(G155="",Settings!$B$17=""),"",IF(OR(ABS(G155-Settings!$B$5)&lt;=Settings!$B$17,ABS(G155-Settings!$B$6)&lt;=Settings!$B$17,ABS(G155-Settings!$B$7)&lt;=Settings!$B$17),"NEAR CUT",""))</f>
        <v/>
      </c>
      <c r="AM155" s="31">
        <f>IF('Post-Test Entry'!$AR155&lt;&gt;"","Post essay: code "&amp;'Post-Test Entry'!$AR155,IF('Pre-Test Entry'!$AR155&lt;&gt;"","Pre essay: code "&amp;'Pre-Test Entry'!$AR155,""))</f>
        <v/>
      </c>
      <c r="AN155" s="39">
        <f>IFERROR(IF($AJ155="","",INDEX(Settings!$D$28:$D$34,MATCH($AJ155,Settings!$A$28:$A$34,0))),"")</f>
        <v/>
      </c>
      <c r="AP155">
        <f>IF(D155="","",D155^2)</f>
        <v/>
      </c>
      <c r="AQ155">
        <f>IF(G155="","",G155^2)</f>
        <v/>
      </c>
    </row>
  </sheetData>
  <mergeCells count="9">
    <mergeCell ref="AJ3:AN3"/>
    <mergeCell ref="J3:N3"/>
    <mergeCell ref="A2:AN2"/>
    <mergeCell ref="V3:AB3"/>
    <mergeCell ref="AC3:AI3"/>
    <mergeCell ref="O3:U3"/>
    <mergeCell ref="D3:F3"/>
    <mergeCell ref="G3:I3"/>
    <mergeCell ref="A1:AN1"/>
  </mergeCells>
  <conditionalFormatting sqref="O6:U155">
    <cfRule type="cellIs" priority="1" operator="greaterThanOrEqual" dxfId="1">
      <formula>Settings!$B$11</formula>
    </cfRule>
    <cfRule type="cellIs" priority="2" operator="greaterThanOrEqual" dxfId="2">
      <formula>Settings!$B$12</formula>
    </cfRule>
    <cfRule type="cellIs" priority="3" operator="lessThan" dxfId="3">
      <formula>Settings!$B$12</formula>
    </cfRule>
  </conditionalFormatting>
  <conditionalFormatting sqref="V6:AB155">
    <cfRule type="cellIs" priority="4" operator="greaterThanOrEqual" dxfId="1">
      <formula>Settings!$B$11</formula>
    </cfRule>
    <cfRule type="cellIs" priority="5" operator="greaterThanOrEqual" dxfId="2">
      <formula>Settings!$B$12</formula>
    </cfRule>
    <cfRule type="cellIs" priority="6" operator="lessThan" dxfId="3">
      <formula>Settings!$B$12</formula>
    </cfRule>
  </conditionalFormatting>
  <conditionalFormatting sqref="AC6:AI155">
    <cfRule type="colorScale" priority="7">
      <colorScale>
        <cfvo type="num" val="-0.3"/>
        <cfvo type="num" val="0"/>
        <cfvo type="num" val="0.3"/>
        <color rgb="00F8696B"/>
        <color rgb="00FFFFFF"/>
        <color rgb="0063BE7B"/>
      </colorScale>
    </cfRule>
  </conditionalFormatting>
  <conditionalFormatting sqref="AL6:AL155">
    <cfRule type="cellIs" priority="8" operator="equal" dxfId="4">
      <formula>"NEAR CUT"</formula>
    </cfRule>
  </conditionalFormatting>
  <conditionalFormatting sqref="M6:M155">
    <cfRule type="cellIs" priority="9" operator="equal" dxfId="1">
      <formula>"Yes"</formula>
    </cfRule>
  </conditionalFormatting>
  <conditionalFormatting sqref="N6:N155">
    <cfRule type="cellIs" priority="10" operator="equal" dxfId="1">
      <formula>"Yes"</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3"/>
  <sheetViews>
    <sheetView showGridLines="0"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6" customWidth="1" min="6" max="6"/>
    <col width="24" customWidth="1" min="7" max="7"/>
    <col width="16" customWidth="1" min="8" max="8"/>
    <col width="16" customWidth="1" min="9" max="9"/>
  </cols>
  <sheetData>
    <row r="1" ht="30" customHeight="1">
      <c r="A1" s="1" t="inlineStr">
        <is>
          <t>Class Dashboard</t>
        </is>
      </c>
    </row>
    <row r="2">
      <c r="A2" s="8" t="inlineStr">
        <is>
          <t>Type a class period in cell B4 to filter every statistic on this sheet to that period. Leave B4 blank for all students.</t>
        </is>
      </c>
    </row>
    <row r="4">
      <c r="A4" s="22" t="inlineStr">
        <is>
          <t>Filter to class period (blank = all):</t>
        </is>
      </c>
      <c r="B4" s="10" t="inlineStr"/>
    </row>
    <row r="6" ht="20" customHeight="1">
      <c r="A6" s="3" t="inlineStr">
        <is>
          <t>Overall performance</t>
        </is>
      </c>
    </row>
    <row r="7">
      <c r="A7" s="15" t="inlineStr"/>
      <c r="B7" s="15" t="inlineStr">
        <is>
          <t>Pre-Test</t>
        </is>
      </c>
      <c r="C7" s="15" t="inlineStr">
        <is>
          <t>Post-Test</t>
        </is>
      </c>
      <c r="D7" s="15" t="inlineStr">
        <is>
          <t>Change</t>
        </is>
      </c>
    </row>
    <row r="8">
      <c r="A8" s="40" t="inlineStr">
        <is>
          <t>Students with scores</t>
        </is>
      </c>
      <c r="B8" s="41">
        <f>COUNTIFS('Student Report'!$C$6:$C$155,Settings!$Z$1,'Student Report'!$D$6:$D$155,"&gt;=0")</f>
        <v/>
      </c>
      <c r="C8" s="41">
        <f>COUNTIFS('Student Report'!$C$6:$C$155,Settings!$Z$1,'Student Report'!$G$6:$G$155,"&gt;=0")</f>
        <v/>
      </c>
      <c r="D8" s="41" t="n"/>
    </row>
    <row r="9">
      <c r="A9" s="40" t="inlineStr">
        <is>
          <t>Mean raw score (of 60)</t>
        </is>
      </c>
      <c r="B9" s="42">
        <f>IFERROR(AVERAGEIFS('Student Report'!$D$6:$D$155,'Student Report'!$C$6:$C$155,Settings!$Z$1),"")</f>
        <v/>
      </c>
      <c r="C9" s="42">
        <f>IFERROR(AVERAGEIFS('Student Report'!$G$6:$G$155,'Student Report'!$C$6:$C$155,Settings!$Z$1),"")</f>
        <v/>
      </c>
      <c r="D9" s="42">
        <f>IFERROR(C9-B9,"")</f>
        <v/>
      </c>
    </row>
    <row r="10">
      <c r="A10" s="40" t="inlineStr">
        <is>
          <t>Mean percent</t>
        </is>
      </c>
      <c r="B10" s="43">
        <f>IFERROR(B9/Settings!$B$8,"")</f>
        <v/>
      </c>
      <c r="C10" s="43">
        <f>IFERROR(C9/Settings!$B$8,"")</f>
        <v/>
      </c>
      <c r="D10" s="43">
        <f>IFERROR(C10-B10,"")</f>
        <v/>
      </c>
    </row>
    <row r="11">
      <c r="A11" s="40" t="inlineStr">
        <is>
          <t>Standard deviation</t>
        </is>
      </c>
      <c r="B11" s="42">
        <f>IFERROR(SQRT((SUMIFS('Student Report'!$AP$6:$AP$155,'Student Report'!$C$6:$C$155,Settings!$Z$1)-B8*B9^2)/(B8-1)),"")</f>
        <v/>
      </c>
      <c r="C11" s="42">
        <f>IFERROR(SQRT((SUMIFS('Student Report'!$AQ$6:$AQ$155,'Student Report'!$C$6:$C$155,Settings!$Z$1)-C8*C9^2)/(C8-1)),"")</f>
        <v/>
      </c>
      <c r="D11" s="42" t="n"/>
    </row>
    <row r="12">
      <c r="A12" s="40" t="inlineStr">
        <is>
          <t>Lowest score</t>
        </is>
      </c>
      <c r="B12" s="41">
        <f>IFERROR(_xlfn.MINIFS('Student Report'!$D$6:$D$155,'Student Report'!$C$6:$C$155,Settings!$Z$1),"")</f>
        <v/>
      </c>
      <c r="C12" s="41">
        <f>IFERROR(_xlfn.MINIFS('Student Report'!$G$6:$G$155,'Student Report'!$C$6:$C$155,Settings!$Z$1),"")</f>
        <v/>
      </c>
      <c r="D12" s="41" t="n"/>
    </row>
    <row r="13">
      <c r="A13" s="40" t="inlineStr">
        <is>
          <t>Highest score</t>
        </is>
      </c>
      <c r="B13" s="41">
        <f>IFERROR(_xlfn.MAXIFS('Student Report'!$D$6:$D$155,'Student Report'!$C$6:$C$155,Settings!$Z$1),"")</f>
        <v/>
      </c>
      <c r="C13" s="41">
        <f>IFERROR(_xlfn.MAXIFS('Student Report'!$G$6:$G$155,'Student Report'!$C$6:$C$155,Settings!$Z$1),"")</f>
        <v/>
      </c>
      <c r="D13" s="41" t="n"/>
    </row>
    <row r="15">
      <c r="A15" s="44" t="inlineStr">
        <is>
          <t>Class effect size (Cohen's d)</t>
        </is>
      </c>
      <c r="B15" s="45">
        <f>IFERROR((C9-B9)/SQRT((B11^2+C11^2)/2),"")</f>
        <v/>
      </c>
      <c r="C15" s="7">
        <f>IFERROR(IF(B15="","",IF(B15&gt;=0.7,"Strong year",IF(B15&gt;=0.4,"Solid year",IF(B15&gt;=0.2,"Modest","Below expectation")))),"")</f>
        <v/>
      </c>
      <c r="D15" s="7" t="inlineStr">
        <is>
          <t>Middle-grades ELA benchmarks: 0.40 solid, 0.70 strong</t>
        </is>
      </c>
    </row>
    <row r="17" ht="20" customHeight="1">
      <c r="A17" s="3" t="inlineStr">
        <is>
          <t>Achievement level distribution</t>
        </is>
      </c>
    </row>
    <row r="18">
      <c r="A18" s="15" t="inlineStr">
        <is>
          <t>Achievement level</t>
        </is>
      </c>
      <c r="B18" s="15" t="inlineStr">
        <is>
          <t>Pre — n</t>
        </is>
      </c>
      <c r="C18" s="15" t="inlineStr">
        <is>
          <t>Pre — %</t>
        </is>
      </c>
      <c r="D18" s="15" t="inlineStr">
        <is>
          <t>Post — n</t>
        </is>
      </c>
      <c r="E18" s="15" t="inlineStr">
        <is>
          <t>Post — %</t>
        </is>
      </c>
      <c r="F18" s="15" t="inlineStr">
        <is>
          <t>Change in n</t>
        </is>
      </c>
    </row>
    <row r="19">
      <c r="A19" s="40" t="inlineStr">
        <is>
          <t>Beginning Learner</t>
        </is>
      </c>
      <c r="B19" s="41">
        <f>COUNTIFS('Student Report'!$C$6:$C$155,Settings!$Z$1,'Student Report'!$F$6:$F$155,"Beginning Learner")</f>
        <v/>
      </c>
      <c r="C19" s="43">
        <f>IFERROR(B19/SUM($B$19:$B$22),"")</f>
        <v/>
      </c>
      <c r="D19" s="41">
        <f>COUNTIFS('Student Report'!$C$6:$C$155,Settings!$Z$1,'Student Report'!$I$6:$I$155,"Beginning Learner")</f>
        <v/>
      </c>
      <c r="E19" s="43">
        <f>IFERROR(D19/SUM($D$19:$D$22),"")</f>
        <v/>
      </c>
      <c r="F19" s="41">
        <f>D19-B19</f>
        <v/>
      </c>
    </row>
    <row r="20">
      <c r="A20" s="40" t="inlineStr">
        <is>
          <t>Developing Learner</t>
        </is>
      </c>
      <c r="B20" s="41">
        <f>COUNTIFS('Student Report'!$C$6:$C$155,Settings!$Z$1,'Student Report'!$F$6:$F$155,"Developing Learner")</f>
        <v/>
      </c>
      <c r="C20" s="43">
        <f>IFERROR(B20/SUM($B$19:$B$22),"")</f>
        <v/>
      </c>
      <c r="D20" s="41">
        <f>COUNTIFS('Student Report'!$C$6:$C$155,Settings!$Z$1,'Student Report'!$I$6:$I$155,"Developing Learner")</f>
        <v/>
      </c>
      <c r="E20" s="43">
        <f>IFERROR(D20/SUM($D$19:$D$22),"")</f>
        <v/>
      </c>
      <c r="F20" s="41">
        <f>D20-B20</f>
        <v/>
      </c>
    </row>
    <row r="21">
      <c r="A21" s="40" t="inlineStr">
        <is>
          <t>Proficient Learner</t>
        </is>
      </c>
      <c r="B21" s="41">
        <f>COUNTIFS('Student Report'!$C$6:$C$155,Settings!$Z$1,'Student Report'!$F$6:$F$155,"Proficient Learner")</f>
        <v/>
      </c>
      <c r="C21" s="43">
        <f>IFERROR(B21/SUM($B$19:$B$22),"")</f>
        <v/>
      </c>
      <c r="D21" s="41">
        <f>COUNTIFS('Student Report'!$C$6:$C$155,Settings!$Z$1,'Student Report'!$I$6:$I$155,"Proficient Learner")</f>
        <v/>
      </c>
      <c r="E21" s="43">
        <f>IFERROR(D21/SUM($D$19:$D$22),"")</f>
        <v/>
      </c>
      <c r="F21" s="41">
        <f>D21-B21</f>
        <v/>
      </c>
    </row>
    <row r="22">
      <c r="A22" s="40" t="inlineStr">
        <is>
          <t>Distinguished Learner</t>
        </is>
      </c>
      <c r="B22" s="41">
        <f>COUNTIFS('Student Report'!$C$6:$C$155,Settings!$Z$1,'Student Report'!$F$6:$F$155,"Distinguished Learner")</f>
        <v/>
      </c>
      <c r="C22" s="43">
        <f>IFERROR(B22/SUM($B$19:$B$22),"")</f>
        <v/>
      </c>
      <c r="D22" s="41">
        <f>COUNTIFS('Student Report'!$C$6:$C$155,Settings!$Z$1,'Student Report'!$I$6:$I$155,"Distinguished Learner")</f>
        <v/>
      </c>
      <c r="E22" s="43">
        <f>IFERROR(D22/SUM($D$19:$D$22),"")</f>
        <v/>
      </c>
      <c r="F22" s="41">
        <f>D22-B22</f>
        <v/>
      </c>
    </row>
    <row r="24" ht="20" customHeight="1">
      <c r="A24" s="3" t="inlineStr">
        <is>
          <t>Reporting category performance</t>
        </is>
      </c>
    </row>
    <row r="25">
      <c r="A25" s="15" t="inlineStr">
        <is>
          <t>Reporting category</t>
        </is>
      </c>
      <c r="B25" s="15" t="inlineStr">
        <is>
          <t>Max pts</t>
        </is>
      </c>
      <c r="C25" s="15" t="inlineStr">
        <is>
          <t>Pre — mean %</t>
        </is>
      </c>
      <c r="D25" s="15" t="inlineStr">
        <is>
          <t>Post — mean %</t>
        </is>
      </c>
      <c r="E25" s="15" t="inlineStr">
        <is>
          <t>Change</t>
        </is>
      </c>
      <c r="F25" s="15" t="inlineStr">
        <is>
          <t>Students 'Not Yet' (post)</t>
        </is>
      </c>
      <c r="G25" s="15" t="inlineStr">
        <is>
          <t>Whole-class reteach?</t>
        </is>
      </c>
    </row>
    <row r="26">
      <c r="A26" s="40" t="inlineStr">
        <is>
          <t>I-CSS — Interpreting — Context, Structure &amp; Style</t>
        </is>
      </c>
      <c r="B26" s="18" t="n">
        <v>6</v>
      </c>
      <c r="C26" s="43">
        <f>IFERROR(AVERAGEIFS('Student Report'!$O$6:$O$155,'Student Report'!$C$6:$C$155,Settings!$Z$1,'Student Report'!$O$6:$O$155,"&gt;=0"),"")</f>
        <v/>
      </c>
      <c r="D26" s="43">
        <f>IFERROR(AVERAGEIFS('Student Report'!$V$6:$V$155,'Student Report'!$C$6:$C$155,Settings!$Z$1,'Student Report'!$V$6:$V$155,"&gt;=0"),"")</f>
        <v/>
      </c>
      <c r="E26" s="43">
        <f>IFERROR(D26-C26,"")</f>
        <v/>
      </c>
      <c r="F26" s="18">
        <f>COUNTIFS('Student Report'!$C$6:$C$155,Settings!$Z$1,'Student Report'!$V$6:$V$155,"&lt;"&amp;Settings!$B$12,'Student Report'!$V$6:$V$155,"&gt;=0")</f>
        <v/>
      </c>
      <c r="G26" s="46">
        <f>IF(C26="","",IF(F26&gt;=0.4*MAX(1,COUNTIFS('Student Report'!$C$6:$C$155,Settings!$Z$1,'Student Report'!$G$6:$G$155,"&gt;=0")),"YES — reteach to whole class","No — small group"))</f>
        <v/>
      </c>
    </row>
    <row r="27">
      <c r="A27" s="40" t="inlineStr">
        <is>
          <t>I-TEC — Interpreting — Techniques</t>
        </is>
      </c>
      <c r="B27" s="18" t="n">
        <v>16</v>
      </c>
      <c r="C27" s="43">
        <f>IFERROR(AVERAGEIFS('Student Report'!$P$6:$P$155,'Student Report'!$C$6:$C$155,Settings!$Z$1,'Student Report'!$P$6:$P$155,"&gt;=0"),"")</f>
        <v/>
      </c>
      <c r="D27" s="43">
        <f>IFERROR(AVERAGEIFS('Student Report'!$W$6:$W$155,'Student Report'!$C$6:$C$155,Settings!$Z$1,'Student Report'!$W$6:$W$155,"&gt;=0"),"")</f>
        <v/>
      </c>
      <c r="E27" s="43">
        <f>IFERROR(D27-C27,"")</f>
        <v/>
      </c>
      <c r="F27" s="18">
        <f>COUNTIFS('Student Report'!$C$6:$C$155,Settings!$Z$1,'Student Report'!$W$6:$W$155,"&lt;"&amp;Settings!$B$12,'Student Report'!$W$6:$W$155,"&gt;=0")</f>
        <v/>
      </c>
      <c r="G27" s="46">
        <f>IF(C27="","",IF(F27&gt;=0.4*MAX(1,COUNTIFS('Student Report'!$C$6:$C$155,Settings!$Z$1,'Student Report'!$G$6:$G$155,"&gt;=0")),"YES — reteach to whole class","No — small group"))</f>
        <v/>
      </c>
    </row>
    <row r="28">
      <c r="A28" s="40" t="inlineStr">
        <is>
          <t>I-PRA — Interpreting — Periods &amp; Movements + Research</t>
        </is>
      </c>
      <c r="B28" s="18" t="n">
        <v>6</v>
      </c>
      <c r="C28" s="43">
        <f>IFERROR(AVERAGEIFS('Student Report'!$Q$6:$Q$155,'Student Report'!$C$6:$C$155,Settings!$Z$1,'Student Report'!$Q$6:$Q$155,"&gt;=0"),"")</f>
        <v/>
      </c>
      <c r="D28" s="43">
        <f>IFERROR(AVERAGEIFS('Student Report'!$X$6:$X$155,'Student Report'!$C$6:$C$155,Settings!$Z$1,'Student Report'!$X$6:$X$155,"&gt;=0"),"")</f>
        <v/>
      </c>
      <c r="E28" s="43">
        <f>IFERROR(D28-C28,"")</f>
        <v/>
      </c>
      <c r="F28" s="18">
        <f>COUNTIFS('Student Report'!$C$6:$C$155,Settings!$Z$1,'Student Report'!$X$6:$X$155,"&lt;"&amp;Settings!$B$12,'Student Report'!$X$6:$X$155,"&gt;=0")</f>
        <v/>
      </c>
      <c r="G28" s="46">
        <f>IF(C28="","",IF(F28&gt;=0.4*MAX(1,COUNTIFS('Student Report'!$C$6:$C$155,Settings!$Z$1,'Student Report'!$G$6:$G$155,"&gt;=0")),"YES — reteach to whole class","No — small group"))</f>
        <v/>
      </c>
    </row>
    <row r="29">
      <c r="A29" s="40" t="inlineStr">
        <is>
          <t>I-LNG — Interpreting — Language (Grammar &amp; Vocabulary)</t>
        </is>
      </c>
      <c r="B29" s="18" t="n">
        <v>6</v>
      </c>
      <c r="C29" s="43">
        <f>IFERROR(AVERAGEIFS('Student Report'!$R$6:$R$155,'Student Report'!$C$6:$C$155,Settings!$Z$1,'Student Report'!$R$6:$R$155,"&gt;=0"),"")</f>
        <v/>
      </c>
      <c r="D29" s="43">
        <f>IFERROR(AVERAGEIFS('Student Report'!$Y$6:$Y$155,'Student Report'!$C$6:$C$155,Settings!$Z$1,'Student Report'!$Y$6:$Y$155,"&gt;=0"),"")</f>
        <v/>
      </c>
      <c r="E29" s="43">
        <f>IFERROR(D29-C29,"")</f>
        <v/>
      </c>
      <c r="F29" s="18">
        <f>COUNTIFS('Student Report'!$C$6:$C$155,Settings!$Z$1,'Student Report'!$Y$6:$Y$155,"&lt;"&amp;Settings!$B$12,'Student Report'!$Y$6:$Y$155,"&gt;=0")</f>
        <v/>
      </c>
      <c r="G29" s="46">
        <f>IF(C29="","",IF(F29&gt;=0.4*MAX(1,COUNTIFS('Student Report'!$C$6:$C$155,Settings!$Z$1,'Student Report'!$G$6:$G$155,"&gt;=0")),"YES — reteach to whole class","No — small group"))</f>
        <v/>
      </c>
    </row>
    <row r="30">
      <c r="A30" s="40" t="inlineStr">
        <is>
          <t>C-CSS — Constructing — Context, Structure &amp; Style</t>
        </is>
      </c>
      <c r="B30" s="18" t="n">
        <v>8</v>
      </c>
      <c r="C30" s="43">
        <f>IFERROR(AVERAGEIFS('Student Report'!$S$6:$S$155,'Student Report'!$C$6:$C$155,Settings!$Z$1,'Student Report'!$S$6:$S$155,"&gt;=0"),"")</f>
        <v/>
      </c>
      <c r="D30" s="43">
        <f>IFERROR(AVERAGEIFS('Student Report'!$Z$6:$Z$155,'Student Report'!$C$6:$C$155,Settings!$Z$1,'Student Report'!$Z$6:$Z$155,"&gt;=0"),"")</f>
        <v/>
      </c>
      <c r="E30" s="43">
        <f>IFERROR(D30-C30,"")</f>
        <v/>
      </c>
      <c r="F30" s="18">
        <f>COUNTIFS('Student Report'!$C$6:$C$155,Settings!$Z$1,'Student Report'!$Z$6:$Z$155,"&lt;"&amp;Settings!$B$12,'Student Report'!$Z$6:$Z$155,"&gt;=0")</f>
        <v/>
      </c>
      <c r="G30" s="46">
        <f>IF(C30="","",IF(F30&gt;=0.4*MAX(1,COUNTIFS('Student Report'!$C$6:$C$155,Settings!$Z$1,'Student Report'!$G$6:$G$155,"&gt;=0")),"YES — reteach to whole class","No — small group"))</f>
        <v/>
      </c>
    </row>
    <row r="31">
      <c r="A31" s="40" t="inlineStr">
        <is>
          <t>C-TEC — Constructing — Techniques</t>
        </is>
      </c>
      <c r="B31" s="18" t="n">
        <v>10</v>
      </c>
      <c r="C31" s="43">
        <f>IFERROR(AVERAGEIFS('Student Report'!$T$6:$T$155,'Student Report'!$C$6:$C$155,Settings!$Z$1,'Student Report'!$T$6:$T$155,"&gt;=0"),"")</f>
        <v/>
      </c>
      <c r="D31" s="43">
        <f>IFERROR(AVERAGEIFS('Student Report'!$AA$6:$AA$155,'Student Report'!$C$6:$C$155,Settings!$Z$1,'Student Report'!$AA$6:$AA$155,"&gt;=0"),"")</f>
        <v/>
      </c>
      <c r="E31" s="43">
        <f>IFERROR(D31-C31,"")</f>
        <v/>
      </c>
      <c r="F31" s="18">
        <f>COUNTIFS('Student Report'!$C$6:$C$155,Settings!$Z$1,'Student Report'!$AA$6:$AA$155,"&lt;"&amp;Settings!$B$12,'Student Report'!$AA$6:$AA$155,"&gt;=0")</f>
        <v/>
      </c>
      <c r="G31" s="46">
        <f>IF(C31="","",IF(F31&gt;=0.4*MAX(1,COUNTIFS('Student Report'!$C$6:$C$155,Settings!$Z$1,'Student Report'!$G$6:$G$155,"&gt;=0")),"YES — reteach to whole class","No — small group"))</f>
        <v/>
      </c>
    </row>
    <row r="32">
      <c r="A32" s="40" t="inlineStr">
        <is>
          <t>C-LNG — Constructing — Language (Grammar &amp; Vocabulary)</t>
        </is>
      </c>
      <c r="B32" s="18" t="n">
        <v>8</v>
      </c>
      <c r="C32" s="43">
        <f>IFERROR(AVERAGEIFS('Student Report'!$U$6:$U$155,'Student Report'!$C$6:$C$155,Settings!$Z$1,'Student Report'!$U$6:$U$155,"&gt;=0"),"")</f>
        <v/>
      </c>
      <c r="D32" s="43">
        <f>IFERROR(AVERAGEIFS('Student Report'!$AB$6:$AB$155,'Student Report'!$C$6:$C$155,Settings!$Z$1,'Student Report'!$AB$6:$AB$155,"&gt;=0"),"")</f>
        <v/>
      </c>
      <c r="E32" s="43">
        <f>IFERROR(D32-C32,"")</f>
        <v/>
      </c>
      <c r="F32" s="18">
        <f>COUNTIFS('Student Report'!$C$6:$C$155,Settings!$Z$1,'Student Report'!$AB$6:$AB$155,"&lt;"&amp;Settings!$B$12,'Student Report'!$AB$6:$AB$155,"&gt;=0")</f>
        <v/>
      </c>
      <c r="G32" s="46">
        <f>IF(C32="","",IF(F32&gt;=0.4*MAX(1,COUNTIFS('Student Report'!$C$6:$C$155,Settings!$Z$1,'Student Report'!$G$6:$G$155,"&gt;=0")),"YES — reteach to whole class","No — small group"))</f>
        <v/>
      </c>
    </row>
    <row r="34" ht="20" customHeight="1">
      <c r="A34" s="3" t="inlineStr">
        <is>
          <t>Growth summary</t>
        </is>
      </c>
    </row>
    <row r="35">
      <c r="A35" s="40" t="inlineStr">
        <is>
          <t>Students with both pre and post scores</t>
        </is>
      </c>
      <c r="B35" s="47">
        <f>COUNTIFS('Student Report'!$C$6:$C$155,Settings!$Z$1,'Student Report'!$J$6:$J$155,"&gt;=-999")</f>
        <v/>
      </c>
    </row>
    <row r="36">
      <c r="A36" s="40" t="inlineStr">
        <is>
          <t>Students meeting the growth target</t>
        </is>
      </c>
      <c r="B36" s="47">
        <f>COUNTIFS('Student Report'!$C$6:$C$155,Settings!$Z$1,'Student Report'!$N$6:$N$155,"Yes")</f>
        <v/>
      </c>
    </row>
    <row r="37">
      <c r="A37" s="40" t="inlineStr">
        <is>
          <t>Percent meeting the growth target</t>
        </is>
      </c>
      <c r="B37" s="48">
        <f>IFERROR(B36/B35,"")</f>
        <v/>
      </c>
    </row>
    <row r="38">
      <c r="A38" s="40" t="inlineStr">
        <is>
          <t>Students with statistically reliable change</t>
        </is>
      </c>
      <c r="B38" s="47">
        <f>COUNTIFS('Student Report'!$C$6:$C$155,Settings!$Z$1,'Student Report'!$M$6:$M$155,"Yes")</f>
        <v/>
      </c>
    </row>
    <row r="39">
      <c r="A39" s="40" t="inlineStr">
        <is>
          <t>Students who declined (negative gain)</t>
        </is>
      </c>
      <c r="B39" s="47">
        <f>COUNTIFS('Student Report'!$C$6:$C$155,Settings!$Z$1,'Student Report'!$J$6:$J$155,"&lt;0")</f>
        <v/>
      </c>
    </row>
    <row r="40">
      <c r="A40" s="40" t="inlineStr">
        <is>
          <t>Students within one SEM of a cut score (post)</t>
        </is>
      </c>
      <c r="B40" s="47">
        <f>COUNTIFS('Student Report'!$C$6:$C$155,Settings!$Z$1,'Student Report'!$AL$6:$AL$155,"NEAR CUT")</f>
        <v/>
      </c>
    </row>
    <row r="42">
      <c r="A42" s="6" t="inlineStr">
        <is>
          <t>Read the growth summary in this order: (1) effect size for the class, (2) percent meeting the growth target, (3) students with reliable change. A student below the reliable-change threshold has not demonstrated individually measurable growth — say so plainly rather than reporting the raw gain as if it were.</t>
        </is>
      </c>
    </row>
    <row r="43"/>
  </sheetData>
  <mergeCells count="7">
    <mergeCell ref="A2:I2"/>
    <mergeCell ref="A42:I43"/>
    <mergeCell ref="A1:I1"/>
    <mergeCell ref="A17:I17"/>
    <mergeCell ref="A6:I6"/>
    <mergeCell ref="A34:I34"/>
    <mergeCell ref="A24:I2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55"/>
  <sheetViews>
    <sheetView showGridLines="0" workbookViewId="0">
      <pane ySplit="5" topLeftCell="A6" activePane="bottomLeft" state="frozen"/>
      <selection pane="bottomLeft" activeCell="A1" sqref="A1"/>
    </sheetView>
  </sheetViews>
  <sheetFormatPr baseColWidth="8" defaultRowHeight="15"/>
  <cols>
    <col width="8" customWidth="1" min="1" max="1"/>
    <col width="6" customWidth="1" min="2" max="2"/>
    <col width="9" customWidth="1" min="3" max="3"/>
    <col width="14" customWidth="1" min="4" max="4"/>
    <col width="20" customWidth="1" min="5" max="5"/>
    <col width="6" customWidth="1" min="6" max="6"/>
    <col width="6" customWidth="1" min="7" max="7"/>
    <col width="9" customWidth="1" min="8" max="8"/>
    <col width="10" customWidth="1" min="9" max="9"/>
    <col width="9" customWidth="1" min="10" max="10"/>
    <col width="10" customWidth="1" min="11" max="11"/>
    <col width="10" customWidth="1" min="12" max="12"/>
    <col width="12" customWidth="1" min="13" max="13"/>
    <col width="30" customWidth="1" min="14" max="14"/>
    <col hidden="1" width="13" customWidth="1" min="16" max="16"/>
  </cols>
  <sheetData>
    <row r="1" ht="30" customHeight="1">
      <c r="A1" s="1" t="inlineStr">
        <is>
          <t>Item Analysis — difficulty, discrimination, and reliability</t>
        </is>
      </c>
    </row>
    <row r="2">
      <c r="A2" s="8" t="inlineStr">
        <is>
          <t>p-value = mean score / maximum points. Discrimination is the correlation between the item score and the student's total. An item with discrimination below 0.20 is not distinguishing stronger from weaker readers and should be reviewed before the next administration.</t>
        </is>
      </c>
    </row>
    <row r="5">
      <c r="A5" s="15" t="inlineStr">
        <is>
          <t>Item</t>
        </is>
      </c>
      <c r="B5" s="15" t="inlineStr">
        <is>
          <t>Max</t>
        </is>
      </c>
      <c r="C5" s="15" t="inlineStr">
        <is>
          <t>Category</t>
        </is>
      </c>
      <c r="D5" s="15" t="inlineStr">
        <is>
          <t>Standard</t>
        </is>
      </c>
      <c r="E5" s="15" t="inlineStr">
        <is>
          <t>Expectation</t>
        </is>
      </c>
      <c r="F5" s="15" t="inlineStr">
        <is>
          <t>DOK</t>
        </is>
      </c>
      <c r="G5" s="15" t="inlineStr">
        <is>
          <t>Trait</t>
        </is>
      </c>
      <c r="H5" s="15" t="inlineStr">
        <is>
          <t>Pre mean</t>
        </is>
      </c>
      <c r="I5" s="15" t="inlineStr">
        <is>
          <t>Pre p-value</t>
        </is>
      </c>
      <c r="J5" s="15" t="inlineStr">
        <is>
          <t>Post mean</t>
        </is>
      </c>
      <c r="K5" s="15" t="inlineStr">
        <is>
          <t>Post p-value</t>
        </is>
      </c>
      <c r="L5" s="15" t="inlineStr">
        <is>
          <t>Change in p</t>
        </is>
      </c>
      <c r="M5" s="15" t="inlineStr">
        <is>
          <t>Discrimination (pre)</t>
        </is>
      </c>
      <c r="N5" s="15" t="inlineStr">
        <is>
          <t>Flag</t>
        </is>
      </c>
      <c r="P5" s="7" t="inlineStr">
        <is>
          <t>Item variance (helper)</t>
        </is>
      </c>
    </row>
    <row r="6">
      <c r="A6" s="30" t="inlineStr">
        <is>
          <t>Q1</t>
        </is>
      </c>
      <c r="B6" s="30" t="n">
        <v>1</v>
      </c>
      <c r="C6" s="30" t="inlineStr">
        <is>
          <t>I-TEC</t>
        </is>
      </c>
      <c r="D6" s="30" t="inlineStr">
        <is>
          <t>7.T.T.1</t>
        </is>
      </c>
      <c r="E6" s="39" t="inlineStr">
        <is>
          <t>7.T.T.1.a</t>
        </is>
      </c>
      <c r="F6" s="30" t="n">
        <v>2</v>
      </c>
      <c r="G6" s="30" t="inlineStr"/>
      <c r="H6" s="38">
        <f>IFERROR(AVERAGE('Pre-Test Entry'!$C$6:$C$155),"")</f>
        <v/>
      </c>
      <c r="I6" s="37">
        <f>IFERROR(H6/$B6,"")</f>
        <v/>
      </c>
      <c r="J6" s="38">
        <f>IFERROR(AVERAGE('Post-Test Entry'!$C$6:$C$155),"")</f>
        <v/>
      </c>
      <c r="K6" s="37">
        <f>IFERROR(J6/$B6,"")</f>
        <v/>
      </c>
      <c r="L6" s="37">
        <f>IFERROR(K6-I6,"")</f>
        <v/>
      </c>
      <c r="M6" s="38">
        <f>IFERROR(CORREL('Pre-Test Entry'!$C$6:$C$155,'Pre-Test Entry'!$AS$6:$AS$155),"")</f>
        <v/>
      </c>
      <c r="N6" s="39">
        <f>IF(I6="","",IF(I6&lt;0.25,"Very difficult — check key and instruction",IF(I6&gt;0.9,"Very easy — little information",IF(AND(M6&lt;&gt;"",M6&lt;0.2),"LOW DISCRIMINATION — review item","OK"))))</f>
        <v/>
      </c>
      <c r="P6" s="49">
        <f>IFERROR(VARP('Pre-Test Entry'!$C$6:$C$155),0)</f>
        <v/>
      </c>
    </row>
    <row r="7">
      <c r="A7" s="50" t="inlineStr">
        <is>
          <t>Q2</t>
        </is>
      </c>
      <c r="B7" s="50" t="n">
        <v>2</v>
      </c>
      <c r="C7" s="50" t="inlineStr">
        <is>
          <t>I-TEC</t>
        </is>
      </c>
      <c r="D7" s="50" t="inlineStr">
        <is>
          <t>7.T.T.1</t>
        </is>
      </c>
      <c r="E7" s="51" t="inlineStr">
        <is>
          <t>7.T.T.1.b</t>
        </is>
      </c>
      <c r="F7" s="50" t="n">
        <v>3</v>
      </c>
      <c r="G7" s="50" t="inlineStr"/>
      <c r="H7" s="52">
        <f>IFERROR(AVERAGE('Pre-Test Entry'!$D$6:$D$155),"")</f>
        <v/>
      </c>
      <c r="I7" s="53">
        <f>IFERROR(H7/$B7,"")</f>
        <v/>
      </c>
      <c r="J7" s="52">
        <f>IFERROR(AVERAGE('Post-Test Entry'!$D$6:$D$155),"")</f>
        <v/>
      </c>
      <c r="K7" s="53">
        <f>IFERROR(J7/$B7,"")</f>
        <v/>
      </c>
      <c r="L7" s="53">
        <f>IFERROR(K7-I7,"")</f>
        <v/>
      </c>
      <c r="M7" s="52">
        <f>IFERROR(CORREL('Pre-Test Entry'!$D$6:$D$155,'Pre-Test Entry'!$AS$6:$AS$155),"")</f>
        <v/>
      </c>
      <c r="N7" s="51">
        <f>IF(I7="","",IF(I7&lt;0.25,"Very difficult — check key and instruction",IF(I7&gt;0.9,"Very easy — little information",IF(AND(M7&lt;&gt;"",M7&lt;0.2),"LOW DISCRIMINATION — review item","OK"))))</f>
        <v/>
      </c>
      <c r="P7" s="49">
        <f>IFERROR(VARP('Pre-Test Entry'!$D$6:$D$155),0)</f>
        <v/>
      </c>
    </row>
    <row r="8">
      <c r="A8" s="30" t="inlineStr">
        <is>
          <t>Q3</t>
        </is>
      </c>
      <c r="B8" s="30" t="n">
        <v>1</v>
      </c>
      <c r="C8" s="30" t="inlineStr">
        <is>
          <t>I-LNG</t>
        </is>
      </c>
      <c r="D8" s="30" t="inlineStr">
        <is>
          <t>7.L.V.3</t>
        </is>
      </c>
      <c r="E8" s="39" t="inlineStr">
        <is>
          <t>7.L.V.3.b</t>
        </is>
      </c>
      <c r="F8" s="30" t="n">
        <v>2</v>
      </c>
      <c r="G8" s="30" t="inlineStr"/>
      <c r="H8" s="38">
        <f>IFERROR(AVERAGE('Pre-Test Entry'!$E$6:$E$155),"")</f>
        <v/>
      </c>
      <c r="I8" s="37">
        <f>IFERROR(H8/$B8,"")</f>
        <v/>
      </c>
      <c r="J8" s="38">
        <f>IFERROR(AVERAGE('Post-Test Entry'!$E$6:$E$155),"")</f>
        <v/>
      </c>
      <c r="K8" s="37">
        <f>IFERROR(J8/$B8,"")</f>
        <v/>
      </c>
      <c r="L8" s="37">
        <f>IFERROR(K8-I8,"")</f>
        <v/>
      </c>
      <c r="M8" s="38">
        <f>IFERROR(CORREL('Pre-Test Entry'!$E$6:$E$155,'Pre-Test Entry'!$AS$6:$AS$155),"")</f>
        <v/>
      </c>
      <c r="N8" s="39">
        <f>IF(I8="","",IF(I8&lt;0.25,"Very difficult — check key and instruction",IF(I8&gt;0.9,"Very easy — little information",IF(AND(M8&lt;&gt;"",M8&lt;0.2),"LOW DISCRIMINATION — review item","OK"))))</f>
        <v/>
      </c>
      <c r="P8" s="49">
        <f>IFERROR(VARP('Pre-Test Entry'!$E$6:$E$155),0)</f>
        <v/>
      </c>
    </row>
    <row r="9">
      <c r="A9" s="50" t="inlineStr">
        <is>
          <t>Q4</t>
        </is>
      </c>
      <c r="B9" s="50" t="n">
        <v>1</v>
      </c>
      <c r="C9" s="50" t="inlineStr">
        <is>
          <t>I-CSS</t>
        </is>
      </c>
      <c r="D9" s="50" t="inlineStr">
        <is>
          <t>7.T.SS.2</t>
        </is>
      </c>
      <c r="E9" s="51" t="inlineStr">
        <is>
          <t>7.T.SS.2.a</t>
        </is>
      </c>
      <c r="F9" s="50" t="n">
        <v>2</v>
      </c>
      <c r="G9" s="50" t="inlineStr"/>
      <c r="H9" s="52">
        <f>IFERROR(AVERAGE('Pre-Test Entry'!$F$6:$F$155),"")</f>
        <v/>
      </c>
      <c r="I9" s="53">
        <f>IFERROR(H9/$B9,"")</f>
        <v/>
      </c>
      <c r="J9" s="52">
        <f>IFERROR(AVERAGE('Post-Test Entry'!$F$6:$F$155),"")</f>
        <v/>
      </c>
      <c r="K9" s="53">
        <f>IFERROR(J9/$B9,"")</f>
        <v/>
      </c>
      <c r="L9" s="53">
        <f>IFERROR(K9-I9,"")</f>
        <v/>
      </c>
      <c r="M9" s="52">
        <f>IFERROR(CORREL('Pre-Test Entry'!$F$6:$F$155,'Pre-Test Entry'!$AS$6:$AS$155),"")</f>
        <v/>
      </c>
      <c r="N9" s="51">
        <f>IF(I9="","",IF(I9&lt;0.25,"Very difficult — check key and instruction",IF(I9&gt;0.9,"Very easy — little information",IF(AND(M9&lt;&gt;"",M9&lt;0.2),"LOW DISCRIMINATION — review item","OK"))))</f>
        <v/>
      </c>
      <c r="P9" s="49">
        <f>IFERROR(VARP('Pre-Test Entry'!$F$6:$F$155),0)</f>
        <v/>
      </c>
    </row>
    <row r="10">
      <c r="A10" s="30" t="inlineStr">
        <is>
          <t>Q5</t>
        </is>
      </c>
      <c r="B10" s="30" t="n">
        <v>1</v>
      </c>
      <c r="C10" s="30" t="inlineStr">
        <is>
          <t>I-TEC</t>
        </is>
      </c>
      <c r="D10" s="30" t="inlineStr">
        <is>
          <t>7.T.T.1</t>
        </is>
      </c>
      <c r="E10" s="39" t="inlineStr">
        <is>
          <t>7.T.T.1.c</t>
        </is>
      </c>
      <c r="F10" s="30" t="n">
        <v>2</v>
      </c>
      <c r="G10" s="30" t="inlineStr"/>
      <c r="H10" s="38">
        <f>IFERROR(AVERAGE('Pre-Test Entry'!$G$6:$G$155),"")</f>
        <v/>
      </c>
      <c r="I10" s="37">
        <f>IFERROR(H10/$B10,"")</f>
        <v/>
      </c>
      <c r="J10" s="38">
        <f>IFERROR(AVERAGE('Post-Test Entry'!$G$6:$G$155),"")</f>
        <v/>
      </c>
      <c r="K10" s="37">
        <f>IFERROR(J10/$B10,"")</f>
        <v/>
      </c>
      <c r="L10" s="37">
        <f>IFERROR(K10-I10,"")</f>
        <v/>
      </c>
      <c r="M10" s="38">
        <f>IFERROR(CORREL('Pre-Test Entry'!$G$6:$G$155,'Pre-Test Entry'!$AS$6:$AS$155),"")</f>
        <v/>
      </c>
      <c r="N10" s="39">
        <f>IF(I10="","",IF(I10&lt;0.25,"Very difficult — check key and instruction",IF(I10&gt;0.9,"Very easy — little information",IF(AND(M10&lt;&gt;"",M10&lt;0.2),"LOW DISCRIMINATION — review item","OK"))))</f>
        <v/>
      </c>
      <c r="P10" s="49">
        <f>IFERROR(VARP('Pre-Test Entry'!$G$6:$G$155),0)</f>
        <v/>
      </c>
    </row>
    <row r="11">
      <c r="A11" s="50" t="inlineStr">
        <is>
          <t>Q6</t>
        </is>
      </c>
      <c r="B11" s="50" t="n">
        <v>1</v>
      </c>
      <c r="C11" s="50" t="inlineStr">
        <is>
          <t>I-TEC</t>
        </is>
      </c>
      <c r="D11" s="50" t="inlineStr">
        <is>
          <t>7.T.T.4</t>
        </is>
      </c>
      <c r="E11" s="51" t="inlineStr">
        <is>
          <t>7.T.T.4.a</t>
        </is>
      </c>
      <c r="F11" s="50" t="n">
        <v>1</v>
      </c>
      <c r="G11" s="50" t="inlineStr"/>
      <c r="H11" s="52">
        <f>IFERROR(AVERAGE('Pre-Test Entry'!$H$6:$H$155),"")</f>
        <v/>
      </c>
      <c r="I11" s="53">
        <f>IFERROR(H11/$B11,"")</f>
        <v/>
      </c>
      <c r="J11" s="52">
        <f>IFERROR(AVERAGE('Post-Test Entry'!$H$6:$H$155),"")</f>
        <v/>
      </c>
      <c r="K11" s="53">
        <f>IFERROR(J11/$B11,"")</f>
        <v/>
      </c>
      <c r="L11" s="53">
        <f>IFERROR(K11-I11,"")</f>
        <v/>
      </c>
      <c r="M11" s="52">
        <f>IFERROR(CORREL('Pre-Test Entry'!$H$6:$H$155,'Pre-Test Entry'!$AS$6:$AS$155),"")</f>
        <v/>
      </c>
      <c r="N11" s="51">
        <f>IF(I11="","",IF(I11&lt;0.25,"Very difficult — check key and instruction",IF(I11&gt;0.9,"Very easy — little information",IF(AND(M11&lt;&gt;"",M11&lt;0.2),"LOW DISCRIMINATION — review item","OK"))))</f>
        <v/>
      </c>
      <c r="P11" s="49">
        <f>IFERROR(VARP('Pre-Test Entry'!$H$6:$H$155),0)</f>
        <v/>
      </c>
    </row>
    <row r="12">
      <c r="A12" s="30" t="inlineStr">
        <is>
          <t>Q7</t>
        </is>
      </c>
      <c r="B12" s="30" t="n">
        <v>2</v>
      </c>
      <c r="C12" s="30" t="inlineStr">
        <is>
          <t>I-TEC</t>
        </is>
      </c>
      <c r="D12" s="30" t="inlineStr">
        <is>
          <t>7.T.T.4</t>
        </is>
      </c>
      <c r="E12" s="39" t="inlineStr">
        <is>
          <t>7.T.T.4.a</t>
        </is>
      </c>
      <c r="F12" s="30" t="n">
        <v>3</v>
      </c>
      <c r="G12" s="30" t="inlineStr"/>
      <c r="H12" s="38">
        <f>IFERROR(AVERAGE('Pre-Test Entry'!$I$6:$I$155),"")</f>
        <v/>
      </c>
      <c r="I12" s="37">
        <f>IFERROR(H12/$B12,"")</f>
        <v/>
      </c>
      <c r="J12" s="38">
        <f>IFERROR(AVERAGE('Post-Test Entry'!$I$6:$I$155),"")</f>
        <v/>
      </c>
      <c r="K12" s="37">
        <f>IFERROR(J12/$B12,"")</f>
        <v/>
      </c>
      <c r="L12" s="37">
        <f>IFERROR(K12-I12,"")</f>
        <v/>
      </c>
      <c r="M12" s="38">
        <f>IFERROR(CORREL('Pre-Test Entry'!$I$6:$I$155,'Pre-Test Entry'!$AS$6:$AS$155),"")</f>
        <v/>
      </c>
      <c r="N12" s="39">
        <f>IF(I12="","",IF(I12&lt;0.25,"Very difficult — check key and instruction",IF(I12&gt;0.9,"Very easy — little information",IF(AND(M12&lt;&gt;"",M12&lt;0.2),"LOW DISCRIMINATION — review item","OK"))))</f>
        <v/>
      </c>
      <c r="P12" s="49">
        <f>IFERROR(VARP('Pre-Test Entry'!$I$6:$I$155),0)</f>
        <v/>
      </c>
    </row>
    <row r="13">
      <c r="A13" s="50" t="inlineStr">
        <is>
          <t>Q8</t>
        </is>
      </c>
      <c r="B13" s="50" t="n">
        <v>2</v>
      </c>
      <c r="C13" s="50" t="inlineStr">
        <is>
          <t>I-TEC</t>
        </is>
      </c>
      <c r="D13" s="50" t="inlineStr">
        <is>
          <t>7.T.T.1</t>
        </is>
      </c>
      <c r="E13" s="51" t="inlineStr">
        <is>
          <t>7.T.T.1.c</t>
        </is>
      </c>
      <c r="F13" s="50" t="n">
        <v>3</v>
      </c>
      <c r="G13" s="50" t="inlineStr"/>
      <c r="H13" s="52">
        <f>IFERROR(AVERAGE('Pre-Test Entry'!$J$6:$J$155),"")</f>
        <v/>
      </c>
      <c r="I13" s="53">
        <f>IFERROR(H13/$B13,"")</f>
        <v/>
      </c>
      <c r="J13" s="52">
        <f>IFERROR(AVERAGE('Post-Test Entry'!$J$6:$J$155),"")</f>
        <v/>
      </c>
      <c r="K13" s="53">
        <f>IFERROR(J13/$B13,"")</f>
        <v/>
      </c>
      <c r="L13" s="53">
        <f>IFERROR(K13-I13,"")</f>
        <v/>
      </c>
      <c r="M13" s="52">
        <f>IFERROR(CORREL('Pre-Test Entry'!$J$6:$J$155,'Pre-Test Entry'!$AS$6:$AS$155),"")</f>
        <v/>
      </c>
      <c r="N13" s="51">
        <f>IF(I13="","",IF(I13&lt;0.25,"Very difficult — check key and instruction",IF(I13&gt;0.9,"Very easy — little information",IF(AND(M13&lt;&gt;"",M13&lt;0.2),"LOW DISCRIMINATION — review item","OK"))))</f>
        <v/>
      </c>
      <c r="P13" s="49">
        <f>IFERROR(VARP('Pre-Test Entry'!$J$6:$J$155),0)</f>
        <v/>
      </c>
    </row>
    <row r="14">
      <c r="A14" s="30" t="inlineStr">
        <is>
          <t>Q9</t>
        </is>
      </c>
      <c r="B14" s="30" t="n">
        <v>1</v>
      </c>
      <c r="C14" s="30" t="inlineStr">
        <is>
          <t>I-PRA</t>
        </is>
      </c>
      <c r="D14" s="30" t="inlineStr">
        <is>
          <t>7.T.PM.1</t>
        </is>
      </c>
      <c r="E14" s="39" t="inlineStr">
        <is>
          <t>7.T.PM.1.a</t>
        </is>
      </c>
      <c r="F14" s="30" t="n">
        <v>2</v>
      </c>
      <c r="G14" s="30" t="inlineStr"/>
      <c r="H14" s="38">
        <f>IFERROR(AVERAGE('Pre-Test Entry'!$K$6:$K$155),"")</f>
        <v/>
      </c>
      <c r="I14" s="37">
        <f>IFERROR(H14/$B14,"")</f>
        <v/>
      </c>
      <c r="J14" s="38">
        <f>IFERROR(AVERAGE('Post-Test Entry'!$K$6:$K$155),"")</f>
        <v/>
      </c>
      <c r="K14" s="37">
        <f>IFERROR(J14/$B14,"")</f>
        <v/>
      </c>
      <c r="L14" s="37">
        <f>IFERROR(K14-I14,"")</f>
        <v/>
      </c>
      <c r="M14" s="38">
        <f>IFERROR(CORREL('Pre-Test Entry'!$K$6:$K$155,'Pre-Test Entry'!$AS$6:$AS$155),"")</f>
        <v/>
      </c>
      <c r="N14" s="39">
        <f>IF(I14="","",IF(I14&lt;0.25,"Very difficult — check key and instruction",IF(I14&gt;0.9,"Very easy — little information",IF(AND(M14&lt;&gt;"",M14&lt;0.2),"LOW DISCRIMINATION — review item","OK"))))</f>
        <v/>
      </c>
      <c r="P14" s="49">
        <f>IFERROR(VARP('Pre-Test Entry'!$K$6:$K$155),0)</f>
        <v/>
      </c>
    </row>
    <row r="15">
      <c r="A15" s="50" t="inlineStr">
        <is>
          <t>Q10</t>
        </is>
      </c>
      <c r="B15" s="50" t="n">
        <v>2</v>
      </c>
      <c r="C15" s="50" t="inlineStr">
        <is>
          <t>I-PRA</t>
        </is>
      </c>
      <c r="D15" s="50" t="inlineStr">
        <is>
          <t>7.T.T.1</t>
        </is>
      </c>
      <c r="E15" s="51" t="inlineStr">
        <is>
          <t>7.T.T.1.d/7.T.PM.1.a</t>
        </is>
      </c>
      <c r="F15" s="50" t="n">
        <v>3</v>
      </c>
      <c r="G15" s="50" t="inlineStr"/>
      <c r="H15" s="52">
        <f>IFERROR(AVERAGE('Pre-Test Entry'!$L$6:$L$155),"")</f>
        <v/>
      </c>
      <c r="I15" s="53">
        <f>IFERROR(H15/$B15,"")</f>
        <v/>
      </c>
      <c r="J15" s="52">
        <f>IFERROR(AVERAGE('Post-Test Entry'!$L$6:$L$155),"")</f>
        <v/>
      </c>
      <c r="K15" s="53">
        <f>IFERROR(J15/$B15,"")</f>
        <v/>
      </c>
      <c r="L15" s="53">
        <f>IFERROR(K15-I15,"")</f>
        <v/>
      </c>
      <c r="M15" s="52">
        <f>IFERROR(CORREL('Pre-Test Entry'!$L$6:$L$155,'Pre-Test Entry'!$AS$6:$AS$155),"")</f>
        <v/>
      </c>
      <c r="N15" s="51">
        <f>IF(I15="","",IF(I15&lt;0.25,"Very difficult — check key and instruction",IF(I15&gt;0.9,"Very easy — little information",IF(AND(M15&lt;&gt;"",M15&lt;0.2),"LOW DISCRIMINATION — review item","OK"))))</f>
        <v/>
      </c>
      <c r="P15" s="49">
        <f>IFERROR(VARP('Pre-Test Entry'!$L$6:$L$155),0)</f>
        <v/>
      </c>
    </row>
    <row r="16">
      <c r="A16" s="30" t="inlineStr">
        <is>
          <t>Q11</t>
        </is>
      </c>
      <c r="B16" s="30" t="n">
        <v>1</v>
      </c>
      <c r="C16" s="30" t="inlineStr">
        <is>
          <t>I-CSS</t>
        </is>
      </c>
      <c r="D16" s="30" t="inlineStr">
        <is>
          <t>7.T.SS.1</t>
        </is>
      </c>
      <c r="E16" s="39" t="inlineStr">
        <is>
          <t>7.T.SS.1.a</t>
        </is>
      </c>
      <c r="F16" s="30" t="n">
        <v>2</v>
      </c>
      <c r="G16" s="30" t="inlineStr"/>
      <c r="H16" s="38">
        <f>IFERROR(AVERAGE('Pre-Test Entry'!$M$6:$M$155),"")</f>
        <v/>
      </c>
      <c r="I16" s="37">
        <f>IFERROR(H16/$B16,"")</f>
        <v/>
      </c>
      <c r="J16" s="38">
        <f>IFERROR(AVERAGE('Post-Test Entry'!$M$6:$M$155),"")</f>
        <v/>
      </c>
      <c r="K16" s="37">
        <f>IFERROR(J16/$B16,"")</f>
        <v/>
      </c>
      <c r="L16" s="37">
        <f>IFERROR(K16-I16,"")</f>
        <v/>
      </c>
      <c r="M16" s="38">
        <f>IFERROR(CORREL('Pre-Test Entry'!$M$6:$M$155,'Pre-Test Entry'!$AS$6:$AS$155),"")</f>
        <v/>
      </c>
      <c r="N16" s="39">
        <f>IF(I16="","",IF(I16&lt;0.25,"Very difficult — check key and instruction",IF(I16&gt;0.9,"Very easy — little information",IF(AND(M16&lt;&gt;"",M16&lt;0.2),"LOW DISCRIMINATION — review item","OK"))))</f>
        <v/>
      </c>
      <c r="P16" s="49">
        <f>IFERROR(VARP('Pre-Test Entry'!$M$6:$M$155),0)</f>
        <v/>
      </c>
    </row>
    <row r="17">
      <c r="A17" s="50" t="inlineStr">
        <is>
          <t>Q12</t>
        </is>
      </c>
      <c r="B17" s="50" t="n">
        <v>1</v>
      </c>
      <c r="C17" s="50" t="inlineStr">
        <is>
          <t>I-TEC</t>
        </is>
      </c>
      <c r="D17" s="50" t="inlineStr">
        <is>
          <t>7.T.T.2</t>
        </is>
      </c>
      <c r="E17" s="51" t="inlineStr">
        <is>
          <t>7.T.T.2.a</t>
        </is>
      </c>
      <c r="F17" s="50" t="n">
        <v>2</v>
      </c>
      <c r="G17" s="50" t="inlineStr"/>
      <c r="H17" s="52">
        <f>IFERROR(AVERAGE('Pre-Test Entry'!$N$6:$N$155),"")</f>
        <v/>
      </c>
      <c r="I17" s="53">
        <f>IFERROR(H17/$B17,"")</f>
        <v/>
      </c>
      <c r="J17" s="52">
        <f>IFERROR(AVERAGE('Post-Test Entry'!$N$6:$N$155),"")</f>
        <v/>
      </c>
      <c r="K17" s="53">
        <f>IFERROR(J17/$B17,"")</f>
        <v/>
      </c>
      <c r="L17" s="53">
        <f>IFERROR(K17-I17,"")</f>
        <v/>
      </c>
      <c r="M17" s="52">
        <f>IFERROR(CORREL('Pre-Test Entry'!$N$6:$N$155,'Pre-Test Entry'!$AS$6:$AS$155),"")</f>
        <v/>
      </c>
      <c r="N17" s="51">
        <f>IF(I17="","",IF(I17&lt;0.25,"Very difficult — check key and instruction",IF(I17&gt;0.9,"Very easy — little information",IF(AND(M17&lt;&gt;"",M17&lt;0.2),"LOW DISCRIMINATION — review item","OK"))))</f>
        <v/>
      </c>
      <c r="P17" s="49">
        <f>IFERROR(VARP('Pre-Test Entry'!$N$6:$N$155),0)</f>
        <v/>
      </c>
    </row>
    <row r="18">
      <c r="A18" s="30" t="inlineStr">
        <is>
          <t>Q13</t>
        </is>
      </c>
      <c r="B18" s="30" t="n">
        <v>1</v>
      </c>
      <c r="C18" s="30" t="inlineStr">
        <is>
          <t>I-TEC</t>
        </is>
      </c>
      <c r="D18" s="30" t="inlineStr">
        <is>
          <t>7.T.T.2</t>
        </is>
      </c>
      <c r="E18" s="39" t="inlineStr">
        <is>
          <t>7.T.T.2.a</t>
        </is>
      </c>
      <c r="F18" s="30" t="n">
        <v>2</v>
      </c>
      <c r="G18" s="30" t="inlineStr"/>
      <c r="H18" s="38">
        <f>IFERROR(AVERAGE('Pre-Test Entry'!$O$6:$O$155),"")</f>
        <v/>
      </c>
      <c r="I18" s="37">
        <f>IFERROR(H18/$B18,"")</f>
        <v/>
      </c>
      <c r="J18" s="38">
        <f>IFERROR(AVERAGE('Post-Test Entry'!$O$6:$O$155),"")</f>
        <v/>
      </c>
      <c r="K18" s="37">
        <f>IFERROR(J18/$B18,"")</f>
        <v/>
      </c>
      <c r="L18" s="37">
        <f>IFERROR(K18-I18,"")</f>
        <v/>
      </c>
      <c r="M18" s="38">
        <f>IFERROR(CORREL('Pre-Test Entry'!$O$6:$O$155,'Pre-Test Entry'!$AS$6:$AS$155),"")</f>
        <v/>
      </c>
      <c r="N18" s="39">
        <f>IF(I18="","",IF(I18&lt;0.25,"Very difficult — check key and instruction",IF(I18&gt;0.9,"Very easy — little information",IF(AND(M18&lt;&gt;"",M18&lt;0.2),"LOW DISCRIMINATION — review item","OK"))))</f>
        <v/>
      </c>
      <c r="P18" s="49">
        <f>IFERROR(VARP('Pre-Test Entry'!$O$6:$O$155),0)</f>
        <v/>
      </c>
    </row>
    <row r="19">
      <c r="A19" s="50" t="inlineStr">
        <is>
          <t>Q14</t>
        </is>
      </c>
      <c r="B19" s="50" t="n">
        <v>1</v>
      </c>
      <c r="C19" s="50" t="inlineStr">
        <is>
          <t>I-LNG</t>
        </is>
      </c>
      <c r="D19" s="50" t="inlineStr">
        <is>
          <t>7.L.V.2</t>
        </is>
      </c>
      <c r="E19" s="51" t="inlineStr">
        <is>
          <t>7.L.V.2.a</t>
        </is>
      </c>
      <c r="F19" s="50" t="n">
        <v>1</v>
      </c>
      <c r="G19" s="50" t="inlineStr"/>
      <c r="H19" s="52">
        <f>IFERROR(AVERAGE('Pre-Test Entry'!$P$6:$P$155),"")</f>
        <v/>
      </c>
      <c r="I19" s="53">
        <f>IFERROR(H19/$B19,"")</f>
        <v/>
      </c>
      <c r="J19" s="52">
        <f>IFERROR(AVERAGE('Post-Test Entry'!$P$6:$P$155),"")</f>
        <v/>
      </c>
      <c r="K19" s="53">
        <f>IFERROR(J19/$B19,"")</f>
        <v/>
      </c>
      <c r="L19" s="53">
        <f>IFERROR(K19-I19,"")</f>
        <v/>
      </c>
      <c r="M19" s="52">
        <f>IFERROR(CORREL('Pre-Test Entry'!$P$6:$P$155,'Pre-Test Entry'!$AS$6:$AS$155),"")</f>
        <v/>
      </c>
      <c r="N19" s="51">
        <f>IF(I19="","",IF(I19&lt;0.25,"Very difficult — check key and instruction",IF(I19&gt;0.9,"Very easy — little information",IF(AND(M19&lt;&gt;"",M19&lt;0.2),"LOW DISCRIMINATION — review item","OK"))))</f>
        <v/>
      </c>
      <c r="P19" s="49">
        <f>IFERROR(VARP('Pre-Test Entry'!$P$6:$P$155),0)</f>
        <v/>
      </c>
    </row>
    <row r="20">
      <c r="A20" s="30" t="inlineStr">
        <is>
          <t>Q15</t>
        </is>
      </c>
      <c r="B20" s="30" t="n">
        <v>1</v>
      </c>
      <c r="C20" s="30" t="inlineStr">
        <is>
          <t>I-LNG</t>
        </is>
      </c>
      <c r="D20" s="30" t="inlineStr">
        <is>
          <t>7.L.V.2</t>
        </is>
      </c>
      <c r="E20" s="39" t="inlineStr">
        <is>
          <t>7.L.V.2.b</t>
        </is>
      </c>
      <c r="F20" s="30" t="n">
        <v>2</v>
      </c>
      <c r="G20" s="30" t="inlineStr"/>
      <c r="H20" s="38">
        <f>IFERROR(AVERAGE('Pre-Test Entry'!$Q$6:$Q$155),"")</f>
        <v/>
      </c>
      <c r="I20" s="37">
        <f>IFERROR(H20/$B20,"")</f>
        <v/>
      </c>
      <c r="J20" s="38">
        <f>IFERROR(AVERAGE('Post-Test Entry'!$Q$6:$Q$155),"")</f>
        <v/>
      </c>
      <c r="K20" s="37">
        <f>IFERROR(J20/$B20,"")</f>
        <v/>
      </c>
      <c r="L20" s="37">
        <f>IFERROR(K20-I20,"")</f>
        <v/>
      </c>
      <c r="M20" s="38">
        <f>IFERROR(CORREL('Pre-Test Entry'!$Q$6:$Q$155,'Pre-Test Entry'!$AS$6:$AS$155),"")</f>
        <v/>
      </c>
      <c r="N20" s="39">
        <f>IF(I20="","",IF(I20&lt;0.25,"Very difficult — check key and instruction",IF(I20&gt;0.9,"Very easy — little information",IF(AND(M20&lt;&gt;"",M20&lt;0.2),"LOW DISCRIMINATION — review item","OK"))))</f>
        <v/>
      </c>
      <c r="P20" s="49">
        <f>IFERROR(VARP('Pre-Test Entry'!$Q$6:$Q$155),0)</f>
        <v/>
      </c>
    </row>
    <row r="21">
      <c r="A21" s="50" t="inlineStr">
        <is>
          <t>Q16</t>
        </is>
      </c>
      <c r="B21" s="50" t="n">
        <v>2</v>
      </c>
      <c r="C21" s="50" t="inlineStr">
        <is>
          <t>I-CSS</t>
        </is>
      </c>
      <c r="D21" s="50" t="inlineStr">
        <is>
          <t>7.T.C.1</t>
        </is>
      </c>
      <c r="E21" s="51" t="inlineStr">
        <is>
          <t>7.T.C.1.a</t>
        </is>
      </c>
      <c r="F21" s="50" t="n">
        <v>3</v>
      </c>
      <c r="G21" s="50" t="inlineStr"/>
      <c r="H21" s="52">
        <f>IFERROR(AVERAGE('Pre-Test Entry'!$R$6:$R$155),"")</f>
        <v/>
      </c>
      <c r="I21" s="53">
        <f>IFERROR(H21/$B21,"")</f>
        <v/>
      </c>
      <c r="J21" s="52">
        <f>IFERROR(AVERAGE('Post-Test Entry'!$R$6:$R$155),"")</f>
        <v/>
      </c>
      <c r="K21" s="53">
        <f>IFERROR(J21/$B21,"")</f>
        <v/>
      </c>
      <c r="L21" s="53">
        <f>IFERROR(K21-I21,"")</f>
        <v/>
      </c>
      <c r="M21" s="52">
        <f>IFERROR(CORREL('Pre-Test Entry'!$R$6:$R$155,'Pre-Test Entry'!$AS$6:$AS$155),"")</f>
        <v/>
      </c>
      <c r="N21" s="51">
        <f>IF(I21="","",IF(I21&lt;0.25,"Very difficult — check key and instruction",IF(I21&gt;0.9,"Very easy — little information",IF(AND(M21&lt;&gt;"",M21&lt;0.2),"LOW DISCRIMINATION — review item","OK"))))</f>
        <v/>
      </c>
      <c r="P21" s="49">
        <f>IFERROR(VARP('Pre-Test Entry'!$R$6:$R$155),0)</f>
        <v/>
      </c>
    </row>
    <row r="22">
      <c r="A22" s="30" t="inlineStr">
        <is>
          <t>Q17</t>
        </is>
      </c>
      <c r="B22" s="30" t="n">
        <v>1</v>
      </c>
      <c r="C22" s="30" t="inlineStr">
        <is>
          <t>I-TEC</t>
        </is>
      </c>
      <c r="D22" s="30" t="inlineStr">
        <is>
          <t>7.T.T.3</t>
        </is>
      </c>
      <c r="E22" s="39" t="inlineStr">
        <is>
          <t>7.T.T.3.a</t>
        </is>
      </c>
      <c r="F22" s="30" t="n">
        <v>2</v>
      </c>
      <c r="G22" s="30" t="inlineStr"/>
      <c r="H22" s="38">
        <f>IFERROR(AVERAGE('Pre-Test Entry'!$S$6:$S$155),"")</f>
        <v/>
      </c>
      <c r="I22" s="37">
        <f>IFERROR(H22/$B22,"")</f>
        <v/>
      </c>
      <c r="J22" s="38">
        <f>IFERROR(AVERAGE('Post-Test Entry'!$S$6:$S$155),"")</f>
        <v/>
      </c>
      <c r="K22" s="37">
        <f>IFERROR(J22/$B22,"")</f>
        <v/>
      </c>
      <c r="L22" s="37">
        <f>IFERROR(K22-I22,"")</f>
        <v/>
      </c>
      <c r="M22" s="38">
        <f>IFERROR(CORREL('Pre-Test Entry'!$S$6:$S$155,'Pre-Test Entry'!$AS$6:$AS$155),"")</f>
        <v/>
      </c>
      <c r="N22" s="39">
        <f>IF(I22="","",IF(I22&lt;0.25,"Very difficult — check key and instruction",IF(I22&gt;0.9,"Very easy — little information",IF(AND(M22&lt;&gt;"",M22&lt;0.2),"LOW DISCRIMINATION — review item","OK"))))</f>
        <v/>
      </c>
      <c r="P22" s="49">
        <f>IFERROR(VARP('Pre-Test Entry'!$S$6:$S$155),0)</f>
        <v/>
      </c>
    </row>
    <row r="23">
      <c r="A23" s="50" t="inlineStr">
        <is>
          <t>Q18</t>
        </is>
      </c>
      <c r="B23" s="50" t="n">
        <v>2</v>
      </c>
      <c r="C23" s="50" t="inlineStr">
        <is>
          <t>I-TEC</t>
        </is>
      </c>
      <c r="D23" s="50" t="inlineStr">
        <is>
          <t>7.T.T.3</t>
        </is>
      </c>
      <c r="E23" s="51" t="inlineStr">
        <is>
          <t>7.T.T.3.a</t>
        </is>
      </c>
      <c r="F23" s="50" t="n">
        <v>3</v>
      </c>
      <c r="G23" s="50" t="inlineStr"/>
      <c r="H23" s="52">
        <f>IFERROR(AVERAGE('Pre-Test Entry'!$T$6:$T$155),"")</f>
        <v/>
      </c>
      <c r="I23" s="53">
        <f>IFERROR(H23/$B23,"")</f>
        <v/>
      </c>
      <c r="J23" s="52">
        <f>IFERROR(AVERAGE('Post-Test Entry'!$T$6:$T$155),"")</f>
        <v/>
      </c>
      <c r="K23" s="53">
        <f>IFERROR(J23/$B23,"")</f>
        <v/>
      </c>
      <c r="L23" s="53">
        <f>IFERROR(K23-I23,"")</f>
        <v/>
      </c>
      <c r="M23" s="52">
        <f>IFERROR(CORREL('Pre-Test Entry'!$T$6:$T$155,'Pre-Test Entry'!$AS$6:$AS$155),"")</f>
        <v/>
      </c>
      <c r="N23" s="51">
        <f>IF(I23="","",IF(I23&lt;0.25,"Very difficult — check key and instruction",IF(I23&gt;0.9,"Very easy — little information",IF(AND(M23&lt;&gt;"",M23&lt;0.2),"LOW DISCRIMINATION — review item","OK"))))</f>
        <v/>
      </c>
      <c r="P23" s="49">
        <f>IFERROR(VARP('Pre-Test Entry'!$T$6:$T$155),0)</f>
        <v/>
      </c>
    </row>
    <row r="24">
      <c r="A24" s="30" t="inlineStr">
        <is>
          <t>Q19</t>
        </is>
      </c>
      <c r="B24" s="30" t="n">
        <v>1</v>
      </c>
      <c r="C24" s="30" t="inlineStr">
        <is>
          <t>I-LNG</t>
        </is>
      </c>
      <c r="D24" s="30" t="inlineStr">
        <is>
          <t>7.L.V.3</t>
        </is>
      </c>
      <c r="E24" s="39" t="inlineStr">
        <is>
          <t>7.L.V.3.c</t>
        </is>
      </c>
      <c r="F24" s="30" t="n">
        <v>2</v>
      </c>
      <c r="G24" s="30" t="inlineStr"/>
      <c r="H24" s="38">
        <f>IFERROR(AVERAGE('Pre-Test Entry'!$U$6:$U$155),"")</f>
        <v/>
      </c>
      <c r="I24" s="37">
        <f>IFERROR(H24/$B24,"")</f>
        <v/>
      </c>
      <c r="J24" s="38">
        <f>IFERROR(AVERAGE('Post-Test Entry'!$U$6:$U$155),"")</f>
        <v/>
      </c>
      <c r="K24" s="37">
        <f>IFERROR(J24/$B24,"")</f>
        <v/>
      </c>
      <c r="L24" s="37">
        <f>IFERROR(K24-I24,"")</f>
        <v/>
      </c>
      <c r="M24" s="38">
        <f>IFERROR(CORREL('Pre-Test Entry'!$U$6:$U$155,'Pre-Test Entry'!$AS$6:$AS$155),"")</f>
        <v/>
      </c>
      <c r="N24" s="39">
        <f>IF(I24="","",IF(I24&lt;0.25,"Very difficult — check key and instruction",IF(I24&gt;0.9,"Very easy — little information",IF(AND(M24&lt;&gt;"",M24&lt;0.2),"LOW DISCRIMINATION — review item","OK"))))</f>
        <v/>
      </c>
      <c r="P24" s="49">
        <f>IFERROR(VARP('Pre-Test Entry'!$U$6:$U$155),0)</f>
        <v/>
      </c>
    </row>
    <row r="25">
      <c r="A25" s="50" t="inlineStr">
        <is>
          <t>Q20</t>
        </is>
      </c>
      <c r="B25" s="50" t="n">
        <v>2</v>
      </c>
      <c r="C25" s="50" t="inlineStr">
        <is>
          <t>I-CSS</t>
        </is>
      </c>
      <c r="D25" s="50" t="inlineStr">
        <is>
          <t>7.T.C.2</t>
        </is>
      </c>
      <c r="E25" s="51" t="inlineStr">
        <is>
          <t>7.T.C.2.a/b</t>
        </is>
      </c>
      <c r="F25" s="50" t="n">
        <v>3</v>
      </c>
      <c r="G25" s="50" t="inlineStr"/>
      <c r="H25" s="52">
        <f>IFERROR(AVERAGE('Pre-Test Entry'!$V$6:$V$155),"")</f>
        <v/>
      </c>
      <c r="I25" s="53">
        <f>IFERROR(H25/$B25,"")</f>
        <v/>
      </c>
      <c r="J25" s="52">
        <f>IFERROR(AVERAGE('Post-Test Entry'!$V$6:$V$155),"")</f>
        <v/>
      </c>
      <c r="K25" s="53">
        <f>IFERROR(J25/$B25,"")</f>
        <v/>
      </c>
      <c r="L25" s="53">
        <f>IFERROR(K25-I25,"")</f>
        <v/>
      </c>
      <c r="M25" s="52">
        <f>IFERROR(CORREL('Pre-Test Entry'!$V$6:$V$155,'Pre-Test Entry'!$AS$6:$AS$155),"")</f>
        <v/>
      </c>
      <c r="N25" s="51">
        <f>IF(I25="","",IF(I25&lt;0.25,"Very difficult — check key and instruction",IF(I25&gt;0.9,"Very easy — little information",IF(AND(M25&lt;&gt;"",M25&lt;0.2),"LOW DISCRIMINATION — review item","OK"))))</f>
        <v/>
      </c>
      <c r="P25" s="49">
        <f>IFERROR(VARP('Pre-Test Entry'!$V$6:$V$155),0)</f>
        <v/>
      </c>
    </row>
    <row r="26">
      <c r="A26" s="30" t="inlineStr">
        <is>
          <t>Q21</t>
        </is>
      </c>
      <c r="B26" s="30" t="n">
        <v>2</v>
      </c>
      <c r="C26" s="30" t="inlineStr">
        <is>
          <t>I-LNG</t>
        </is>
      </c>
      <c r="D26" s="30" t="inlineStr">
        <is>
          <t>7.L.GC.2</t>
        </is>
      </c>
      <c r="E26" s="39" t="inlineStr">
        <is>
          <t>7.L.GC.2.a</t>
        </is>
      </c>
      <c r="F26" s="30" t="n">
        <v>2</v>
      </c>
      <c r="G26" s="30" t="inlineStr"/>
      <c r="H26" s="38">
        <f>IFERROR(AVERAGE('Pre-Test Entry'!$W$6:$W$155),"")</f>
        <v/>
      </c>
      <c r="I26" s="37">
        <f>IFERROR(H26/$B26,"")</f>
        <v/>
      </c>
      <c r="J26" s="38">
        <f>IFERROR(AVERAGE('Post-Test Entry'!$W$6:$W$155),"")</f>
        <v/>
      </c>
      <c r="K26" s="37">
        <f>IFERROR(J26/$B26,"")</f>
        <v/>
      </c>
      <c r="L26" s="37">
        <f>IFERROR(K26-I26,"")</f>
        <v/>
      </c>
      <c r="M26" s="38">
        <f>IFERROR(CORREL('Pre-Test Entry'!$W$6:$W$155,'Pre-Test Entry'!$AS$6:$AS$155),"")</f>
        <v/>
      </c>
      <c r="N26" s="39">
        <f>IF(I26="","",IF(I26&lt;0.25,"Very difficult — check key and instruction",IF(I26&gt;0.9,"Very easy — little information",IF(AND(M26&lt;&gt;"",M26&lt;0.2),"LOW DISCRIMINATION — review item","OK"))))</f>
        <v/>
      </c>
      <c r="P26" s="49">
        <f>IFERROR(VARP('Pre-Test Entry'!$W$6:$W$155),0)</f>
        <v/>
      </c>
    </row>
    <row r="27">
      <c r="A27" s="50" t="inlineStr">
        <is>
          <t>Q22</t>
        </is>
      </c>
      <c r="B27" s="50" t="n">
        <v>2</v>
      </c>
      <c r="C27" s="50" t="inlineStr">
        <is>
          <t>I-TEC</t>
        </is>
      </c>
      <c r="D27" s="50" t="inlineStr">
        <is>
          <t>7.T.T.2</t>
        </is>
      </c>
      <c r="E27" s="51" t="inlineStr">
        <is>
          <t>7.T.T.2.b</t>
        </is>
      </c>
      <c r="F27" s="50" t="n">
        <v>3</v>
      </c>
      <c r="G27" s="50" t="inlineStr"/>
      <c r="H27" s="52">
        <f>IFERROR(AVERAGE('Pre-Test Entry'!$X$6:$X$155),"")</f>
        <v/>
      </c>
      <c r="I27" s="53">
        <f>IFERROR(H27/$B27,"")</f>
        <v/>
      </c>
      <c r="J27" s="52">
        <f>IFERROR(AVERAGE('Post-Test Entry'!$X$6:$X$155),"")</f>
        <v/>
      </c>
      <c r="K27" s="53">
        <f>IFERROR(J27/$B27,"")</f>
        <v/>
      </c>
      <c r="L27" s="53">
        <f>IFERROR(K27-I27,"")</f>
        <v/>
      </c>
      <c r="M27" s="52">
        <f>IFERROR(CORREL('Pre-Test Entry'!$X$6:$X$155,'Pre-Test Entry'!$AS$6:$AS$155),"")</f>
        <v/>
      </c>
      <c r="N27" s="51">
        <f>IF(I27="","",IF(I27&lt;0.25,"Very difficult — check key and instruction",IF(I27&gt;0.9,"Very easy — little information",IF(AND(M27&lt;&gt;"",M27&lt;0.2),"LOW DISCRIMINATION — review item","OK"))))</f>
        <v/>
      </c>
      <c r="P27" s="49">
        <f>IFERROR(VARP('Pre-Test Entry'!$X$6:$X$155),0)</f>
        <v/>
      </c>
    </row>
    <row r="28">
      <c r="A28" s="30" t="inlineStr">
        <is>
          <t>Q23</t>
        </is>
      </c>
      <c r="B28" s="30" t="n">
        <v>1</v>
      </c>
      <c r="C28" s="30" t="inlineStr">
        <is>
          <t>I-PRA</t>
        </is>
      </c>
      <c r="D28" s="30" t="inlineStr">
        <is>
          <t>7.T.RA.2</t>
        </is>
      </c>
      <c r="E28" s="39" t="inlineStr">
        <is>
          <t>7.T.RA.2.b</t>
        </is>
      </c>
      <c r="F28" s="30" t="n">
        <v>2</v>
      </c>
      <c r="G28" s="30" t="inlineStr"/>
      <c r="H28" s="38">
        <f>IFERROR(AVERAGE('Pre-Test Entry'!$Y$6:$Y$155),"")</f>
        <v/>
      </c>
      <c r="I28" s="37">
        <f>IFERROR(H28/$B28,"")</f>
        <v/>
      </c>
      <c r="J28" s="38">
        <f>IFERROR(AVERAGE('Post-Test Entry'!$Y$6:$Y$155),"")</f>
        <v/>
      </c>
      <c r="K28" s="37">
        <f>IFERROR(J28/$B28,"")</f>
        <v/>
      </c>
      <c r="L28" s="37">
        <f>IFERROR(K28-I28,"")</f>
        <v/>
      </c>
      <c r="M28" s="38">
        <f>IFERROR(CORREL('Pre-Test Entry'!$Y$6:$Y$155,'Pre-Test Entry'!$AS$6:$AS$155),"")</f>
        <v/>
      </c>
      <c r="N28" s="39">
        <f>IF(I28="","",IF(I28&lt;0.25,"Very difficult — check key and instruction",IF(I28&gt;0.9,"Very easy — little information",IF(AND(M28&lt;&gt;"",M28&lt;0.2),"LOW DISCRIMINATION — review item","OK"))))</f>
        <v/>
      </c>
      <c r="P28" s="49">
        <f>IFERROR(VARP('Pre-Test Entry'!$Y$6:$Y$155),0)</f>
        <v/>
      </c>
    </row>
    <row r="29">
      <c r="A29" s="50" t="inlineStr">
        <is>
          <t>Q24</t>
        </is>
      </c>
      <c r="B29" s="50" t="n">
        <v>2</v>
      </c>
      <c r="C29" s="50" t="inlineStr">
        <is>
          <t>I-PRA</t>
        </is>
      </c>
      <c r="D29" s="50" t="inlineStr">
        <is>
          <t>7.T.RA.2</t>
        </is>
      </c>
      <c r="E29" s="51" t="inlineStr">
        <is>
          <t>7.T.RA.2.a</t>
        </is>
      </c>
      <c r="F29" s="50" t="n">
        <v>2</v>
      </c>
      <c r="G29" s="50" t="inlineStr"/>
      <c r="H29" s="52">
        <f>IFERROR(AVERAGE('Pre-Test Entry'!$Z$6:$Z$155),"")</f>
        <v/>
      </c>
      <c r="I29" s="53">
        <f>IFERROR(H29/$B29,"")</f>
        <v/>
      </c>
      <c r="J29" s="52">
        <f>IFERROR(AVERAGE('Post-Test Entry'!$Z$6:$Z$155),"")</f>
        <v/>
      </c>
      <c r="K29" s="53">
        <f>IFERROR(J29/$B29,"")</f>
        <v/>
      </c>
      <c r="L29" s="53">
        <f>IFERROR(K29-I29,"")</f>
        <v/>
      </c>
      <c r="M29" s="52">
        <f>IFERROR(CORREL('Pre-Test Entry'!$Z$6:$Z$155,'Pre-Test Entry'!$AS$6:$AS$155),"")</f>
        <v/>
      </c>
      <c r="N29" s="51">
        <f>IF(I29="","",IF(I29&lt;0.25,"Very difficult — check key and instruction",IF(I29&gt;0.9,"Very easy — little information",IF(AND(M29&lt;&gt;"",M29&lt;0.2),"LOW DISCRIMINATION — review item","OK"))))</f>
        <v/>
      </c>
      <c r="P29" s="49">
        <f>IFERROR(VARP('Pre-Test Entry'!$Z$6:$Z$155),0)</f>
        <v/>
      </c>
    </row>
    <row r="30">
      <c r="A30" s="30" t="inlineStr">
        <is>
          <t>Q25</t>
        </is>
      </c>
      <c r="B30" s="30" t="n">
        <v>1</v>
      </c>
      <c r="C30" s="30" t="inlineStr">
        <is>
          <t>C-CSS</t>
        </is>
      </c>
      <c r="D30" s="30" t="inlineStr">
        <is>
          <t>7.T.SS.1</t>
        </is>
      </c>
      <c r="E30" s="39" t="inlineStr">
        <is>
          <t>7.T.SS.1.d</t>
        </is>
      </c>
      <c r="F30" s="30" t="n">
        <v>2</v>
      </c>
      <c r="G30" s="30" t="inlineStr">
        <is>
          <t>1</t>
        </is>
      </c>
      <c r="H30" s="38">
        <f>IFERROR(AVERAGE('Pre-Test Entry'!$AA$6:$AA$155),"")</f>
        <v/>
      </c>
      <c r="I30" s="37">
        <f>IFERROR(H30/$B30,"")</f>
        <v/>
      </c>
      <c r="J30" s="38">
        <f>IFERROR(AVERAGE('Post-Test Entry'!$AA$6:$AA$155),"")</f>
        <v/>
      </c>
      <c r="K30" s="37">
        <f>IFERROR(J30/$B30,"")</f>
        <v/>
      </c>
      <c r="L30" s="37">
        <f>IFERROR(K30-I30,"")</f>
        <v/>
      </c>
      <c r="M30" s="38">
        <f>IFERROR(CORREL('Pre-Test Entry'!$AA$6:$AA$155,'Pre-Test Entry'!$AS$6:$AS$155),"")</f>
        <v/>
      </c>
      <c r="N30" s="39">
        <f>IF(I30="","",IF(I30&lt;0.25,"Very difficult — check key and instruction",IF(I30&gt;0.9,"Very easy — little information",IF(AND(M30&lt;&gt;"",M30&lt;0.2),"LOW DISCRIMINATION — review item","OK"))))</f>
        <v/>
      </c>
      <c r="P30" s="49">
        <f>IFERROR(VARP('Pre-Test Entry'!$AA$6:$AA$155),0)</f>
        <v/>
      </c>
    </row>
    <row r="31">
      <c r="A31" s="50" t="inlineStr">
        <is>
          <t>Q26</t>
        </is>
      </c>
      <c r="B31" s="50" t="n">
        <v>1</v>
      </c>
      <c r="C31" s="50" t="inlineStr">
        <is>
          <t>C-TEC</t>
        </is>
      </c>
      <c r="D31" s="50" t="inlineStr">
        <is>
          <t>7.T.T.3</t>
        </is>
      </c>
      <c r="E31" s="51" t="inlineStr">
        <is>
          <t>7.T.T.3.c</t>
        </is>
      </c>
      <c r="F31" s="50" t="n">
        <v>2</v>
      </c>
      <c r="G31" s="50" t="inlineStr">
        <is>
          <t>2</t>
        </is>
      </c>
      <c r="H31" s="52">
        <f>IFERROR(AVERAGE('Pre-Test Entry'!$AB$6:$AB$155),"")</f>
        <v/>
      </c>
      <c r="I31" s="53">
        <f>IFERROR(H31/$B31,"")</f>
        <v/>
      </c>
      <c r="J31" s="52">
        <f>IFERROR(AVERAGE('Post-Test Entry'!$AB$6:$AB$155),"")</f>
        <v/>
      </c>
      <c r="K31" s="53">
        <f>IFERROR(J31/$B31,"")</f>
        <v/>
      </c>
      <c r="L31" s="53">
        <f>IFERROR(K31-I31,"")</f>
        <v/>
      </c>
      <c r="M31" s="52">
        <f>IFERROR(CORREL('Pre-Test Entry'!$AB$6:$AB$155,'Pre-Test Entry'!$AS$6:$AS$155),"")</f>
        <v/>
      </c>
      <c r="N31" s="51">
        <f>IF(I31="","",IF(I31&lt;0.25,"Very difficult — check key and instruction",IF(I31&gt;0.9,"Very easy — little information",IF(AND(M31&lt;&gt;"",M31&lt;0.2),"LOW DISCRIMINATION — review item","OK"))))</f>
        <v/>
      </c>
      <c r="P31" s="49">
        <f>IFERROR(VARP('Pre-Test Entry'!$AB$6:$AB$155),0)</f>
        <v/>
      </c>
    </row>
    <row r="32">
      <c r="A32" s="30" t="inlineStr">
        <is>
          <t>Q27</t>
        </is>
      </c>
      <c r="B32" s="30" t="n">
        <v>2</v>
      </c>
      <c r="C32" s="30" t="inlineStr">
        <is>
          <t>C-TEC</t>
        </is>
      </c>
      <c r="D32" s="30" t="inlineStr">
        <is>
          <t>7.T.T.3</t>
        </is>
      </c>
      <c r="E32" s="39" t="inlineStr">
        <is>
          <t>7.T.T.3.c/7.T.RA.2.c</t>
        </is>
      </c>
      <c r="F32" s="30" t="n">
        <v>3</v>
      </c>
      <c r="G32" s="30" t="inlineStr">
        <is>
          <t>2</t>
        </is>
      </c>
      <c r="H32" s="38">
        <f>IFERROR(AVERAGE('Pre-Test Entry'!$AC$6:$AC$155),"")</f>
        <v/>
      </c>
      <c r="I32" s="37">
        <f>IFERROR(H32/$B32,"")</f>
        <v/>
      </c>
      <c r="J32" s="38">
        <f>IFERROR(AVERAGE('Post-Test Entry'!$AC$6:$AC$155),"")</f>
        <v/>
      </c>
      <c r="K32" s="37">
        <f>IFERROR(J32/$B32,"")</f>
        <v/>
      </c>
      <c r="L32" s="37">
        <f>IFERROR(K32-I32,"")</f>
        <v/>
      </c>
      <c r="M32" s="38">
        <f>IFERROR(CORREL('Pre-Test Entry'!$AC$6:$AC$155,'Pre-Test Entry'!$AS$6:$AS$155),"")</f>
        <v/>
      </c>
      <c r="N32" s="39">
        <f>IF(I32="","",IF(I32&lt;0.25,"Very difficult — check key and instruction",IF(I32&gt;0.9,"Very easy — little information",IF(AND(M32&lt;&gt;"",M32&lt;0.2),"LOW DISCRIMINATION — review item","OK"))))</f>
        <v/>
      </c>
      <c r="P32" s="49">
        <f>IFERROR(VARP('Pre-Test Entry'!$AC$6:$AC$155),0)</f>
        <v/>
      </c>
    </row>
    <row r="33">
      <c r="A33" s="50" t="inlineStr">
        <is>
          <t>Q28</t>
        </is>
      </c>
      <c r="B33" s="50" t="n">
        <v>2</v>
      </c>
      <c r="C33" s="50" t="inlineStr">
        <is>
          <t>C-TEC</t>
        </is>
      </c>
      <c r="D33" s="50" t="inlineStr">
        <is>
          <t>7.T.T.2</t>
        </is>
      </c>
      <c r="E33" s="51" t="inlineStr">
        <is>
          <t>7.T.T.2.d</t>
        </is>
      </c>
      <c r="F33" s="50" t="n">
        <v>2</v>
      </c>
      <c r="G33" s="50" t="inlineStr">
        <is>
          <t>2</t>
        </is>
      </c>
      <c r="H33" s="52">
        <f>IFERROR(AVERAGE('Pre-Test Entry'!$AD$6:$AD$155),"")</f>
        <v/>
      </c>
      <c r="I33" s="53">
        <f>IFERROR(H33/$B33,"")</f>
        <v/>
      </c>
      <c r="J33" s="52">
        <f>IFERROR(AVERAGE('Post-Test Entry'!$AD$6:$AD$155),"")</f>
        <v/>
      </c>
      <c r="K33" s="53">
        <f>IFERROR(J33/$B33,"")</f>
        <v/>
      </c>
      <c r="L33" s="53">
        <f>IFERROR(K33-I33,"")</f>
        <v/>
      </c>
      <c r="M33" s="52">
        <f>IFERROR(CORREL('Pre-Test Entry'!$AD$6:$AD$155,'Pre-Test Entry'!$AS$6:$AS$155),"")</f>
        <v/>
      </c>
      <c r="N33" s="51">
        <f>IF(I33="","",IF(I33&lt;0.25,"Very difficult — check key and instruction",IF(I33&gt;0.9,"Very easy — little information",IF(AND(M33&lt;&gt;"",M33&lt;0.2),"LOW DISCRIMINATION — review item","OK"))))</f>
        <v/>
      </c>
      <c r="P33" s="49">
        <f>IFERROR(VARP('Pre-Test Entry'!$AD$6:$AD$155),0)</f>
        <v/>
      </c>
    </row>
    <row r="34">
      <c r="A34" s="30" t="inlineStr">
        <is>
          <t>Q29</t>
        </is>
      </c>
      <c r="B34" s="30" t="n">
        <v>1</v>
      </c>
      <c r="C34" s="30" t="inlineStr">
        <is>
          <t>C-TEC</t>
        </is>
      </c>
      <c r="D34" s="30" t="inlineStr">
        <is>
          <t>7.T.T.3</t>
        </is>
      </c>
      <c r="E34" s="39" t="inlineStr">
        <is>
          <t>7.T.T.3.c</t>
        </is>
      </c>
      <c r="F34" s="30" t="n">
        <v>2</v>
      </c>
      <c r="G34" s="30" t="inlineStr">
        <is>
          <t>2</t>
        </is>
      </c>
      <c r="H34" s="38">
        <f>IFERROR(AVERAGE('Pre-Test Entry'!$AE$6:$AE$155),"")</f>
        <v/>
      </c>
      <c r="I34" s="37">
        <f>IFERROR(H34/$B34,"")</f>
        <v/>
      </c>
      <c r="J34" s="38">
        <f>IFERROR(AVERAGE('Post-Test Entry'!$AE$6:$AE$155),"")</f>
        <v/>
      </c>
      <c r="K34" s="37">
        <f>IFERROR(J34/$B34,"")</f>
        <v/>
      </c>
      <c r="L34" s="37">
        <f>IFERROR(K34-I34,"")</f>
        <v/>
      </c>
      <c r="M34" s="38">
        <f>IFERROR(CORREL('Pre-Test Entry'!$AE$6:$AE$155,'Pre-Test Entry'!$AS$6:$AS$155),"")</f>
        <v/>
      </c>
      <c r="N34" s="39">
        <f>IF(I34="","",IF(I34&lt;0.25,"Very difficult — check key and instruction",IF(I34&gt;0.9,"Very easy — little information",IF(AND(M34&lt;&gt;"",M34&lt;0.2),"LOW DISCRIMINATION — review item","OK"))))</f>
        <v/>
      </c>
      <c r="P34" s="49">
        <f>IFERROR(VARP('Pre-Test Entry'!$AE$6:$AE$155),0)</f>
        <v/>
      </c>
    </row>
    <row r="35">
      <c r="A35" s="50" t="inlineStr">
        <is>
          <t>Q30</t>
        </is>
      </c>
      <c r="B35" s="50" t="n">
        <v>2</v>
      </c>
      <c r="C35" s="50" t="inlineStr">
        <is>
          <t>C-CSS</t>
        </is>
      </c>
      <c r="D35" s="50" t="inlineStr">
        <is>
          <t>7.T.SS.1</t>
        </is>
      </c>
      <c r="E35" s="51" t="inlineStr">
        <is>
          <t>7.T.SS.1.c</t>
        </is>
      </c>
      <c r="F35" s="50" t="n">
        <v>3</v>
      </c>
      <c r="G35" s="50" t="inlineStr">
        <is>
          <t>1</t>
        </is>
      </c>
      <c r="H35" s="52">
        <f>IFERROR(AVERAGE('Pre-Test Entry'!$AF$6:$AF$155),"")</f>
        <v/>
      </c>
      <c r="I35" s="53">
        <f>IFERROR(H35/$B35,"")</f>
        <v/>
      </c>
      <c r="J35" s="52">
        <f>IFERROR(AVERAGE('Post-Test Entry'!$AF$6:$AF$155),"")</f>
        <v/>
      </c>
      <c r="K35" s="53">
        <f>IFERROR(J35/$B35,"")</f>
        <v/>
      </c>
      <c r="L35" s="53">
        <f>IFERROR(K35-I35,"")</f>
        <v/>
      </c>
      <c r="M35" s="52">
        <f>IFERROR(CORREL('Pre-Test Entry'!$AF$6:$AF$155,'Pre-Test Entry'!$AS$6:$AS$155),"")</f>
        <v/>
      </c>
      <c r="N35" s="51">
        <f>IF(I35="","",IF(I35&lt;0.25,"Very difficult — check key and instruction",IF(I35&gt;0.9,"Very easy — little information",IF(AND(M35&lt;&gt;"",M35&lt;0.2),"LOW DISCRIMINATION — review item","OK"))))</f>
        <v/>
      </c>
      <c r="P35" s="49">
        <f>IFERROR(VARP('Pre-Test Entry'!$AF$6:$AF$155),0)</f>
        <v/>
      </c>
    </row>
    <row r="36">
      <c r="A36" s="30" t="inlineStr">
        <is>
          <t>Q31</t>
        </is>
      </c>
      <c r="B36" s="30" t="n">
        <v>1</v>
      </c>
      <c r="C36" s="30" t="inlineStr">
        <is>
          <t>C-CSS</t>
        </is>
      </c>
      <c r="D36" s="30" t="inlineStr">
        <is>
          <t>7.T.SS.2</t>
        </is>
      </c>
      <c r="E36" s="39" t="inlineStr">
        <is>
          <t>7.T.SS.2.c</t>
        </is>
      </c>
      <c r="F36" s="30" t="n">
        <v>2</v>
      </c>
      <c r="G36" s="30" t="inlineStr">
        <is>
          <t>1</t>
        </is>
      </c>
      <c r="H36" s="38">
        <f>IFERROR(AVERAGE('Pre-Test Entry'!$AG$6:$AG$155),"")</f>
        <v/>
      </c>
      <c r="I36" s="37">
        <f>IFERROR(H36/$B36,"")</f>
        <v/>
      </c>
      <c r="J36" s="38">
        <f>IFERROR(AVERAGE('Post-Test Entry'!$AG$6:$AG$155),"")</f>
        <v/>
      </c>
      <c r="K36" s="37">
        <f>IFERROR(J36/$B36,"")</f>
        <v/>
      </c>
      <c r="L36" s="37">
        <f>IFERROR(K36-I36,"")</f>
        <v/>
      </c>
      <c r="M36" s="38">
        <f>IFERROR(CORREL('Pre-Test Entry'!$AG$6:$AG$155,'Pre-Test Entry'!$AS$6:$AS$155),"")</f>
        <v/>
      </c>
      <c r="N36" s="39">
        <f>IF(I36="","",IF(I36&lt;0.25,"Very difficult — check key and instruction",IF(I36&gt;0.9,"Very easy — little information",IF(AND(M36&lt;&gt;"",M36&lt;0.2),"LOW DISCRIMINATION — review item","OK"))))</f>
        <v/>
      </c>
      <c r="P36" s="49">
        <f>IFERROR(VARP('Pre-Test Entry'!$AG$6:$AG$155),0)</f>
        <v/>
      </c>
    </row>
    <row r="37">
      <c r="A37" s="50" t="inlineStr">
        <is>
          <t>Q32</t>
        </is>
      </c>
      <c r="B37" s="50" t="n">
        <v>1</v>
      </c>
      <c r="C37" s="50" t="inlineStr">
        <is>
          <t>C-LNG</t>
        </is>
      </c>
      <c r="D37" s="50" t="inlineStr">
        <is>
          <t>7.L.GC.2</t>
        </is>
      </c>
      <c r="E37" s="51" t="inlineStr">
        <is>
          <t>7.L.GC.2.b</t>
        </is>
      </c>
      <c r="F37" s="50" t="n">
        <v>2</v>
      </c>
      <c r="G37" s="50" t="inlineStr">
        <is>
          <t>3</t>
        </is>
      </c>
      <c r="H37" s="52">
        <f>IFERROR(AVERAGE('Pre-Test Entry'!$AH$6:$AH$155),"")</f>
        <v/>
      </c>
      <c r="I37" s="53">
        <f>IFERROR(H37/$B37,"")</f>
        <v/>
      </c>
      <c r="J37" s="52">
        <f>IFERROR(AVERAGE('Post-Test Entry'!$AH$6:$AH$155),"")</f>
        <v/>
      </c>
      <c r="K37" s="53">
        <f>IFERROR(J37/$B37,"")</f>
        <v/>
      </c>
      <c r="L37" s="53">
        <f>IFERROR(K37-I37,"")</f>
        <v/>
      </c>
      <c r="M37" s="52">
        <f>IFERROR(CORREL('Pre-Test Entry'!$AH$6:$AH$155,'Pre-Test Entry'!$AS$6:$AS$155),"")</f>
        <v/>
      </c>
      <c r="N37" s="51">
        <f>IF(I37="","",IF(I37&lt;0.25,"Very difficult — check key and instruction",IF(I37&gt;0.9,"Very easy — little information",IF(AND(M37&lt;&gt;"",M37&lt;0.2),"LOW DISCRIMINATION — review item","OK"))))</f>
        <v/>
      </c>
      <c r="P37" s="49">
        <f>IFERROR(VARP('Pre-Test Entry'!$AH$6:$AH$155),0)</f>
        <v/>
      </c>
    </row>
    <row r="38">
      <c r="A38" s="30" t="inlineStr">
        <is>
          <t>Q33</t>
        </is>
      </c>
      <c r="B38" s="30" t="n">
        <v>2</v>
      </c>
      <c r="C38" s="30" t="inlineStr">
        <is>
          <t>C-LNG</t>
        </is>
      </c>
      <c r="D38" s="30" t="inlineStr">
        <is>
          <t>7.L.GC.2</t>
        </is>
      </c>
      <c r="E38" s="39" t="inlineStr">
        <is>
          <t>7.L.GC.2.c</t>
        </is>
      </c>
      <c r="F38" s="30" t="n">
        <v>2</v>
      </c>
      <c r="G38" s="30" t="inlineStr">
        <is>
          <t>3</t>
        </is>
      </c>
      <c r="H38" s="38">
        <f>IFERROR(AVERAGE('Pre-Test Entry'!$AI$6:$AI$155),"")</f>
        <v/>
      </c>
      <c r="I38" s="37">
        <f>IFERROR(H38/$B38,"")</f>
        <v/>
      </c>
      <c r="J38" s="38">
        <f>IFERROR(AVERAGE('Post-Test Entry'!$AI$6:$AI$155),"")</f>
        <v/>
      </c>
      <c r="K38" s="37">
        <f>IFERROR(J38/$B38,"")</f>
        <v/>
      </c>
      <c r="L38" s="37">
        <f>IFERROR(K38-I38,"")</f>
        <v/>
      </c>
      <c r="M38" s="38">
        <f>IFERROR(CORREL('Pre-Test Entry'!$AI$6:$AI$155,'Pre-Test Entry'!$AS$6:$AS$155),"")</f>
        <v/>
      </c>
      <c r="N38" s="39">
        <f>IF(I38="","",IF(I38&lt;0.25,"Very difficult — check key and instruction",IF(I38&gt;0.9,"Very easy — little information",IF(AND(M38&lt;&gt;"",M38&lt;0.2),"LOW DISCRIMINATION — review item","OK"))))</f>
        <v/>
      </c>
      <c r="P38" s="49">
        <f>IFERROR(VARP('Pre-Test Entry'!$AI$6:$AI$155),0)</f>
        <v/>
      </c>
    </row>
    <row r="39">
      <c r="A39" s="50" t="inlineStr">
        <is>
          <t>Q34</t>
        </is>
      </c>
      <c r="B39" s="50" t="n">
        <v>1</v>
      </c>
      <c r="C39" s="50" t="inlineStr">
        <is>
          <t>C-LNG</t>
        </is>
      </c>
      <c r="D39" s="50" t="inlineStr">
        <is>
          <t>7.L.GC.2</t>
        </is>
      </c>
      <c r="E39" s="51" t="inlineStr">
        <is>
          <t>7.L.GC.2.d</t>
        </is>
      </c>
      <c r="F39" s="50" t="n">
        <v>2</v>
      </c>
      <c r="G39" s="50" t="inlineStr">
        <is>
          <t>3</t>
        </is>
      </c>
      <c r="H39" s="52">
        <f>IFERROR(AVERAGE('Pre-Test Entry'!$AJ$6:$AJ$155),"")</f>
        <v/>
      </c>
      <c r="I39" s="53">
        <f>IFERROR(H39/$B39,"")</f>
        <v/>
      </c>
      <c r="J39" s="52">
        <f>IFERROR(AVERAGE('Post-Test Entry'!$AJ$6:$AJ$155),"")</f>
        <v/>
      </c>
      <c r="K39" s="53">
        <f>IFERROR(J39/$B39,"")</f>
        <v/>
      </c>
      <c r="L39" s="53">
        <f>IFERROR(K39-I39,"")</f>
        <v/>
      </c>
      <c r="M39" s="52">
        <f>IFERROR(CORREL('Pre-Test Entry'!$AJ$6:$AJ$155,'Pre-Test Entry'!$AS$6:$AS$155),"")</f>
        <v/>
      </c>
      <c r="N39" s="51">
        <f>IF(I39="","",IF(I39&lt;0.25,"Very difficult — check key and instruction",IF(I39&gt;0.9,"Very easy — little information",IF(AND(M39&lt;&gt;"",M39&lt;0.2),"LOW DISCRIMINATION — review item","OK"))))</f>
        <v/>
      </c>
      <c r="P39" s="49">
        <f>IFERROR(VARP('Pre-Test Entry'!$AJ$6:$AJ$155),0)</f>
        <v/>
      </c>
    </row>
    <row r="40">
      <c r="A40" s="30" t="inlineStr">
        <is>
          <t>Q35</t>
        </is>
      </c>
      <c r="B40" s="30" t="n">
        <v>1</v>
      </c>
      <c r="C40" s="30" t="inlineStr">
        <is>
          <t>C-LNG</t>
        </is>
      </c>
      <c r="D40" s="30" t="inlineStr">
        <is>
          <t>7.L.GC.1</t>
        </is>
      </c>
      <c r="E40" s="39" t="inlineStr">
        <is>
          <t>GUM (Master Gr 6)</t>
        </is>
      </c>
      <c r="F40" s="30" t="n">
        <v>1</v>
      </c>
      <c r="G40" s="30" t="inlineStr">
        <is>
          <t>3</t>
        </is>
      </c>
      <c r="H40" s="38">
        <f>IFERROR(AVERAGE('Pre-Test Entry'!$AK$6:$AK$155),"")</f>
        <v/>
      </c>
      <c r="I40" s="37">
        <f>IFERROR(H40/$B40,"")</f>
        <v/>
      </c>
      <c r="J40" s="38">
        <f>IFERROR(AVERAGE('Post-Test Entry'!$AK$6:$AK$155),"")</f>
        <v/>
      </c>
      <c r="K40" s="37">
        <f>IFERROR(J40/$B40,"")</f>
        <v/>
      </c>
      <c r="L40" s="37">
        <f>IFERROR(K40-I40,"")</f>
        <v/>
      </c>
      <c r="M40" s="38">
        <f>IFERROR(CORREL('Pre-Test Entry'!$AK$6:$AK$155,'Pre-Test Entry'!$AS$6:$AS$155),"")</f>
        <v/>
      </c>
      <c r="N40" s="39">
        <f>IF(I40="","",IF(I40&lt;0.25,"Very difficult — check key and instruction",IF(I40&gt;0.9,"Very easy — little information",IF(AND(M40&lt;&gt;"",M40&lt;0.2),"LOW DISCRIMINATION — review item","OK"))))</f>
        <v/>
      </c>
      <c r="P40" s="49">
        <f>IFERROR(VARP('Pre-Test Entry'!$AK$6:$AK$155),0)</f>
        <v/>
      </c>
    </row>
    <row r="41">
      <c r="A41" s="50" t="inlineStr">
        <is>
          <t>Q36</t>
        </is>
      </c>
      <c r="B41" s="50" t="n">
        <v>1</v>
      </c>
      <c r="C41" s="50" t="inlineStr">
        <is>
          <t>C-LNG</t>
        </is>
      </c>
      <c r="D41" s="50" t="inlineStr">
        <is>
          <t>7.L.V.2</t>
        </is>
      </c>
      <c r="E41" s="51" t="inlineStr">
        <is>
          <t>7.L.V.2.d</t>
        </is>
      </c>
      <c r="F41" s="50" t="n">
        <v>2</v>
      </c>
      <c r="G41" s="50" t="inlineStr">
        <is>
          <t>3</t>
        </is>
      </c>
      <c r="H41" s="52">
        <f>IFERROR(AVERAGE('Pre-Test Entry'!$AL$6:$AL$155),"")</f>
        <v/>
      </c>
      <c r="I41" s="53">
        <f>IFERROR(H41/$B41,"")</f>
        <v/>
      </c>
      <c r="J41" s="52">
        <f>IFERROR(AVERAGE('Post-Test Entry'!$AL$6:$AL$155),"")</f>
        <v/>
      </c>
      <c r="K41" s="53">
        <f>IFERROR(J41/$B41,"")</f>
        <v/>
      </c>
      <c r="L41" s="53">
        <f>IFERROR(K41-I41,"")</f>
        <v/>
      </c>
      <c r="M41" s="52">
        <f>IFERROR(CORREL('Pre-Test Entry'!$AL$6:$AL$155,'Pre-Test Entry'!$AS$6:$AS$155),"")</f>
        <v/>
      </c>
      <c r="N41" s="51">
        <f>IF(I41="","",IF(I41&lt;0.25,"Very difficult — check key and instruction",IF(I41&gt;0.9,"Very easy — little information",IF(AND(M41&lt;&gt;"",M41&lt;0.2),"LOW DISCRIMINATION — review item","OK"))))</f>
        <v/>
      </c>
      <c r="P41" s="49">
        <f>IFERROR(VARP('Pre-Test Entry'!$AL$6:$AL$155),0)</f>
        <v/>
      </c>
    </row>
    <row r="42">
      <c r="A42" s="30" t="inlineStr">
        <is>
          <t>Q37</t>
        </is>
      </c>
      <c r="B42" s="30" t="n">
        <v>1</v>
      </c>
      <c r="C42" s="30" t="inlineStr">
        <is>
          <t>C-TEC</t>
        </is>
      </c>
      <c r="D42" s="30" t="inlineStr">
        <is>
          <t>7.T.RA.2</t>
        </is>
      </c>
      <c r="E42" s="39" t="inlineStr">
        <is>
          <t>7.T.RA.2.c</t>
        </is>
      </c>
      <c r="F42" s="30" t="n">
        <v>2</v>
      </c>
      <c r="G42" s="30" t="inlineStr">
        <is>
          <t>2</t>
        </is>
      </c>
      <c r="H42" s="38">
        <f>IFERROR(AVERAGE('Pre-Test Entry'!$AM$6:$AM$155),"")</f>
        <v/>
      </c>
      <c r="I42" s="37">
        <f>IFERROR(H42/$B42,"")</f>
        <v/>
      </c>
      <c r="J42" s="38">
        <f>IFERROR(AVERAGE('Post-Test Entry'!$AM$6:$AM$155),"")</f>
        <v/>
      </c>
      <c r="K42" s="37">
        <f>IFERROR(J42/$B42,"")</f>
        <v/>
      </c>
      <c r="L42" s="37">
        <f>IFERROR(K42-I42,"")</f>
        <v/>
      </c>
      <c r="M42" s="38">
        <f>IFERROR(CORREL('Pre-Test Entry'!$AM$6:$AM$155,'Pre-Test Entry'!$AS$6:$AS$155),"")</f>
        <v/>
      </c>
      <c r="N42" s="39">
        <f>IF(I42="","",IF(I42&lt;0.25,"Very difficult — check key and instruction",IF(I42&gt;0.9,"Very easy — little information",IF(AND(M42&lt;&gt;"",M42&lt;0.2),"LOW DISCRIMINATION — review item","OK"))))</f>
        <v/>
      </c>
      <c r="P42" s="49">
        <f>IFERROR(VARP('Pre-Test Entry'!$AM$6:$AM$155),0)</f>
        <v/>
      </c>
    </row>
    <row r="43">
      <c r="A43" s="50" t="inlineStr">
        <is>
          <t>Q38</t>
        </is>
      </c>
      <c r="B43" s="50" t="n">
        <v>1</v>
      </c>
      <c r="C43" s="50" t="inlineStr">
        <is>
          <t>C-CSS</t>
        </is>
      </c>
      <c r="D43" s="50" t="inlineStr">
        <is>
          <t>7.T.SS.1</t>
        </is>
      </c>
      <c r="E43" s="51" t="inlineStr">
        <is>
          <t>7.T.SS.1.d</t>
        </is>
      </c>
      <c r="F43" s="50" t="n">
        <v>2</v>
      </c>
      <c r="G43" s="50" t="inlineStr">
        <is>
          <t>1</t>
        </is>
      </c>
      <c r="H43" s="52">
        <f>IFERROR(AVERAGE('Pre-Test Entry'!$AN$6:$AN$155),"")</f>
        <v/>
      </c>
      <c r="I43" s="53">
        <f>IFERROR(H43/$B43,"")</f>
        <v/>
      </c>
      <c r="J43" s="52">
        <f>IFERROR(AVERAGE('Post-Test Entry'!$AN$6:$AN$155),"")</f>
        <v/>
      </c>
      <c r="K43" s="53">
        <f>IFERROR(J43/$B43,"")</f>
        <v/>
      </c>
      <c r="L43" s="53">
        <f>IFERROR(K43-I43,"")</f>
        <v/>
      </c>
      <c r="M43" s="52">
        <f>IFERROR(CORREL('Pre-Test Entry'!$AN$6:$AN$155,'Pre-Test Entry'!$AS$6:$AS$155),"")</f>
        <v/>
      </c>
      <c r="N43" s="51">
        <f>IF(I43="","",IF(I43&lt;0.25,"Very difficult — check key and instruction",IF(I43&gt;0.9,"Very easy — little information",IF(AND(M43&lt;&gt;"",M43&lt;0.2),"LOW DISCRIMINATION — review item","OK"))))</f>
        <v/>
      </c>
      <c r="P43" s="49">
        <f>IFERROR(VARP('Pre-Test Entry'!$AN$6:$AN$155),0)</f>
        <v/>
      </c>
    </row>
    <row r="44">
      <c r="A44" s="30" t="inlineStr">
        <is>
          <t>Q39_T1</t>
        </is>
      </c>
      <c r="B44" s="30" t="n">
        <v>3</v>
      </c>
      <c r="C44" s="30" t="inlineStr">
        <is>
          <t>C-CSS</t>
        </is>
      </c>
      <c r="D44" s="30" t="inlineStr">
        <is>
          <t>Essay Trait 1</t>
        </is>
      </c>
      <c r="E44" s="39" t="inlineStr">
        <is>
          <t>Purpose &amp; Organization</t>
        </is>
      </c>
      <c r="F44" s="30" t="n">
        <v>3</v>
      </c>
      <c r="G44" s="30" t="inlineStr">
        <is>
          <t>1</t>
        </is>
      </c>
      <c r="H44" s="38">
        <f>IFERROR(AVERAGE('Pre-Test Entry'!$AO$6:$AO$155),"")</f>
        <v/>
      </c>
      <c r="I44" s="37">
        <f>IFERROR(H44/$B44,"")</f>
        <v/>
      </c>
      <c r="J44" s="38">
        <f>IFERROR(AVERAGE('Post-Test Entry'!$AO$6:$AO$155),"")</f>
        <v/>
      </c>
      <c r="K44" s="37">
        <f>IFERROR(J44/$B44,"")</f>
        <v/>
      </c>
      <c r="L44" s="37">
        <f>IFERROR(K44-I44,"")</f>
        <v/>
      </c>
      <c r="M44" s="38">
        <f>IFERROR(CORREL('Pre-Test Entry'!$AO$6:$AO$155,'Pre-Test Entry'!$AS$6:$AS$155),"")</f>
        <v/>
      </c>
      <c r="N44" s="39">
        <f>IF(I44="","",IF(I44&lt;0.25,"Very difficult — check key and instruction",IF(I44&gt;0.9,"Very easy — little information",IF(AND(M44&lt;&gt;"",M44&lt;0.2),"LOW DISCRIMINATION — review item","OK"))))</f>
        <v/>
      </c>
      <c r="P44" s="49">
        <f>IFERROR(VARP('Pre-Test Entry'!$AO$6:$AO$155),0)</f>
        <v/>
      </c>
    </row>
    <row r="45">
      <c r="A45" s="50" t="inlineStr">
        <is>
          <t>Q39_T2</t>
        </is>
      </c>
      <c r="B45" s="50" t="n">
        <v>3</v>
      </c>
      <c r="C45" s="50" t="inlineStr">
        <is>
          <t>C-TEC</t>
        </is>
      </c>
      <c r="D45" s="50" t="inlineStr">
        <is>
          <t>Essay Trait 2</t>
        </is>
      </c>
      <c r="E45" s="51" t="inlineStr">
        <is>
          <t>Evidence &amp; Elaboration</t>
        </is>
      </c>
      <c r="F45" s="50" t="n">
        <v>3</v>
      </c>
      <c r="G45" s="50" t="inlineStr">
        <is>
          <t>2</t>
        </is>
      </c>
      <c r="H45" s="52">
        <f>IFERROR(AVERAGE('Pre-Test Entry'!$AP$6:$AP$155),"")</f>
        <v/>
      </c>
      <c r="I45" s="53">
        <f>IFERROR(H45/$B45,"")</f>
        <v/>
      </c>
      <c r="J45" s="52">
        <f>IFERROR(AVERAGE('Post-Test Entry'!$AP$6:$AP$155),"")</f>
        <v/>
      </c>
      <c r="K45" s="53">
        <f>IFERROR(J45/$B45,"")</f>
        <v/>
      </c>
      <c r="L45" s="53">
        <f>IFERROR(K45-I45,"")</f>
        <v/>
      </c>
      <c r="M45" s="52">
        <f>IFERROR(CORREL('Pre-Test Entry'!$AP$6:$AP$155,'Pre-Test Entry'!$AS$6:$AS$155),"")</f>
        <v/>
      </c>
      <c r="N45" s="51">
        <f>IF(I45="","",IF(I45&lt;0.25,"Very difficult — check key and instruction",IF(I45&gt;0.9,"Very easy — little information",IF(AND(M45&lt;&gt;"",M45&lt;0.2),"LOW DISCRIMINATION — review item","OK"))))</f>
        <v/>
      </c>
      <c r="P45" s="49">
        <f>IFERROR(VARP('Pre-Test Entry'!$AP$6:$AP$155),0)</f>
        <v/>
      </c>
    </row>
    <row r="46">
      <c r="A46" s="30" t="inlineStr">
        <is>
          <t>Q39_T3</t>
        </is>
      </c>
      <c r="B46" s="30" t="n">
        <v>2</v>
      </c>
      <c r="C46" s="30" t="inlineStr">
        <is>
          <t>C-LNG</t>
        </is>
      </c>
      <c r="D46" s="30" t="inlineStr">
        <is>
          <t>Essay Trait 3</t>
        </is>
      </c>
      <c r="E46" s="39" t="inlineStr">
        <is>
          <t>Language Usage &amp; Conventions</t>
        </is>
      </c>
      <c r="F46" s="30" t="n">
        <v>3</v>
      </c>
      <c r="G46" s="30" t="inlineStr">
        <is>
          <t>3</t>
        </is>
      </c>
      <c r="H46" s="38">
        <f>IFERROR(AVERAGE('Pre-Test Entry'!$AQ$6:$AQ$155),"")</f>
        <v/>
      </c>
      <c r="I46" s="37">
        <f>IFERROR(H46/$B46,"")</f>
        <v/>
      </c>
      <c r="J46" s="38">
        <f>IFERROR(AVERAGE('Post-Test Entry'!$AQ$6:$AQ$155),"")</f>
        <v/>
      </c>
      <c r="K46" s="37">
        <f>IFERROR(J46/$B46,"")</f>
        <v/>
      </c>
      <c r="L46" s="37">
        <f>IFERROR(K46-I46,"")</f>
        <v/>
      </c>
      <c r="M46" s="38">
        <f>IFERROR(CORREL('Pre-Test Entry'!$AQ$6:$AQ$155,'Pre-Test Entry'!$AS$6:$AS$155),"")</f>
        <v/>
      </c>
      <c r="N46" s="39">
        <f>IF(I46="","",IF(I46&lt;0.25,"Very difficult — check key and instruction",IF(I46&gt;0.9,"Very easy — little information",IF(AND(M46&lt;&gt;"",M46&lt;0.2),"LOW DISCRIMINATION — review item","OK"))))</f>
        <v/>
      </c>
      <c r="P46" s="49">
        <f>IFERROR(VARP('Pre-Test Entry'!$AQ$6:$AQ$155),0)</f>
        <v/>
      </c>
    </row>
    <row r="49" ht="20" customHeight="1">
      <c r="A49" s="3" t="inlineStr">
        <is>
          <t>Reliability (Cronbach's alpha)</t>
        </is>
      </c>
    </row>
    <row r="50">
      <c r="A50" s="40" t="inlineStr">
        <is>
          <t>Number of items (k)</t>
        </is>
      </c>
      <c r="B50" s="41">
        <f>41</f>
        <v/>
      </c>
    </row>
    <row r="51">
      <c r="A51" s="40" t="inlineStr">
        <is>
          <t>Sum of item variances</t>
        </is>
      </c>
      <c r="B51" s="54">
        <f>IFERROR(SUM($P$6:$P$46),"")</f>
        <v/>
      </c>
    </row>
    <row r="52">
      <c r="A52" s="40" t="inlineStr">
        <is>
          <t>Variance of total scores</t>
        </is>
      </c>
      <c r="B52" s="54">
        <f>IFERROR(VARP('Pre-Test Entry'!$AS$6:$AS$155),"")</f>
        <v/>
      </c>
    </row>
    <row r="53">
      <c r="A53" s="44" t="inlineStr">
        <is>
          <t>Cronbach's alpha (pre-test)</t>
        </is>
      </c>
      <c r="B53" s="55">
        <f>IFERROR((41/(41-1))*(1-B51/B52),"")</f>
        <v/>
      </c>
    </row>
    <row r="54">
      <c r="A54" s="6" t="inlineStr">
        <is>
          <t>Expect alpha between 0.82 and 0.88 for a 41-item mixed-format instrument. Below 0.70, category-level reporting is not yet trustworthy for individual students — use it as a class signal only, and copy the computed alpha into Settings cell B16 so the growth statistics use your real value instead of the 0.85 default.</t>
        </is>
      </c>
    </row>
    <row r="55"/>
  </sheetData>
  <mergeCells count="4">
    <mergeCell ref="A2:M2"/>
    <mergeCell ref="A49:M49"/>
    <mergeCell ref="A1:M1"/>
    <mergeCell ref="A54:M55"/>
  </mergeCells>
  <conditionalFormatting sqref="I6:I46">
    <cfRule type="colorScale" priority="1">
      <colorScale>
        <cfvo type="num" val="0"/>
        <cfvo type="num" val="0.6"/>
        <cfvo type="num" val="1"/>
        <color rgb="00F8696B"/>
        <color rgb="00FFEB84"/>
        <color rgb="0063BE7B"/>
      </colorScale>
    </cfRule>
  </conditionalFormatting>
  <conditionalFormatting sqref="K6:K46">
    <cfRule type="colorScale" priority="2">
      <colorScale>
        <cfvo type="num" val="0"/>
        <cfvo type="num" val="0.6"/>
        <cfvo type="num" val="1"/>
        <color rgb="00F8696B"/>
        <color rgb="00FFEB84"/>
        <color rgb="0063BE7B"/>
      </colorScale>
    </cfRule>
  </conditionalFormatting>
  <conditionalFormatting sqref="N6:N46">
    <cfRule type="cellIs" priority="3" operator="containsText" dxfId="3">
      <formula>"LOW DISCRIMINATION"</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5"/>
  <sheetViews>
    <sheetView showGridLines="0" workbookViewId="0">
      <pane xSplit="2" ySplit="15" topLeftCell="C16"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8" customWidth="1" min="3" max="3"/>
    <col width="10" customWidth="1" min="4" max="4"/>
    <col width="20" customWidth="1" min="5" max="5"/>
    <col width="15" customWidth="1" min="6" max="6"/>
    <col width="14" customWidth="1" min="7" max="7"/>
    <col width="11" customWidth="1" min="8" max="8"/>
    <col width="8" customWidth="1" min="9" max="9"/>
    <col width="8" customWidth="1" min="10" max="10"/>
    <col width="8" customWidth="1" min="11" max="11"/>
    <col width="8" customWidth="1" min="12" max="12"/>
    <col width="8" customWidth="1" min="13" max="13"/>
    <col width="8" customWidth="1" min="14" max="14"/>
    <col width="8" customWidth="1" min="15" max="15"/>
  </cols>
  <sheetData>
    <row r="1" ht="30" customHeight="1">
      <c r="A1" s="1" t="inlineStr">
        <is>
          <t>Intervention Groups — mastery heat map and group assignments</t>
        </is>
      </c>
    </row>
    <row r="2">
      <c r="A2" s="8" t="inlineStr">
        <is>
          <t>Column F is each student's PRIMARY instructional group; column G is a secondary group. Select the table and sort by column F to form your groups. Green = Mastered (80%+), amber = Approaching (60-79%), red = Not Yet (below 60%).</t>
        </is>
      </c>
    </row>
    <row r="4" ht="20" customHeight="1">
      <c r="A4" s="3" t="inlineStr">
        <is>
          <t>Whole-class picture — how many students are 'Not Yet' in each category?</t>
        </is>
      </c>
    </row>
    <row r="5">
      <c r="A5" s="15" t="inlineStr">
        <is>
          <t>Category</t>
        </is>
      </c>
      <c r="B5" s="15" t="inlineStr">
        <is>
          <t>Not Yet</t>
        </is>
      </c>
      <c r="C5" s="15" t="inlineStr">
        <is>
          <t>Approaching</t>
        </is>
      </c>
      <c r="D5" s="15" t="inlineStr">
        <is>
          <t>Mastered</t>
        </is>
      </c>
      <c r="E5" s="15" t="inlineStr">
        <is>
          <t>Recommendation</t>
        </is>
      </c>
    </row>
    <row r="6" ht="34" customHeight="1">
      <c r="A6" s="30" t="inlineStr">
        <is>
          <t>I-CSS</t>
        </is>
      </c>
      <c r="B6" s="30">
        <f>COUNTIFS('Student Report'!$V$6:$V$155,"&lt;"&amp;Settings!$B$12,'Student Report'!$V$6:$V$155,"&gt;=0")+COUNTIFS('Student Report'!$V$6:$V$155,"",'Student Report'!$O$6:$O$155,"&lt;"&amp;Settings!$B$12,'Student Report'!$O$6:$O$155,"&gt;=0")</f>
        <v/>
      </c>
      <c r="C6" s="30">
        <f>COUNTIFS('Student Report'!$V$6:$V$155,"&gt;="&amp;Settings!$B$12,'Student Report'!$V$6:$V$155,"&lt;"&amp;Settings!$B$11)+COUNTIFS('Student Report'!$V$6:$V$155,"",'Student Report'!$O$6:$O$155,"&gt;="&amp;Settings!$B$12,'Student Report'!$O$6:$O$155,"&lt;"&amp;Settings!$B$11)</f>
        <v/>
      </c>
      <c r="D6" s="30">
        <f>COUNTIFS('Student Report'!$V$6:$V$155,"&gt;="&amp;Settings!$B$11)+COUNTIFS('Student Report'!$V$6:$V$155,"",'Student Report'!$O$6:$O$155,"&gt;="&amp;Settings!$B$11)</f>
        <v/>
      </c>
      <c r="E6" s="39">
        <f>IFERROR(IF(B6+C6+D6=0,"",IF(B6/(B6+C6+D6)&gt;=0.4,"WHOLE CLASS: "&amp;Settings!$E$28,IF(B6=0,"Maintain through spiral review","SMALL GROUP ("&amp;B6&amp;" students): "&amp;Settings!$E$28))),"")</f>
        <v/>
      </c>
    </row>
    <row r="7" ht="34" customHeight="1">
      <c r="A7" s="30" t="inlineStr">
        <is>
          <t>I-TEC</t>
        </is>
      </c>
      <c r="B7" s="30">
        <f>COUNTIFS('Student Report'!$W$6:$W$155,"&lt;"&amp;Settings!$B$12,'Student Report'!$W$6:$W$155,"&gt;=0")+COUNTIFS('Student Report'!$W$6:$W$155,"",'Student Report'!$P$6:$P$155,"&lt;"&amp;Settings!$B$12,'Student Report'!$P$6:$P$155,"&gt;=0")</f>
        <v/>
      </c>
      <c r="C7" s="30">
        <f>COUNTIFS('Student Report'!$W$6:$W$155,"&gt;="&amp;Settings!$B$12,'Student Report'!$W$6:$W$155,"&lt;"&amp;Settings!$B$11)+COUNTIFS('Student Report'!$W$6:$W$155,"",'Student Report'!$P$6:$P$155,"&gt;="&amp;Settings!$B$12,'Student Report'!$P$6:$P$155,"&lt;"&amp;Settings!$B$11)</f>
        <v/>
      </c>
      <c r="D7" s="30">
        <f>COUNTIFS('Student Report'!$W$6:$W$155,"&gt;="&amp;Settings!$B$11)+COUNTIFS('Student Report'!$W$6:$W$155,"",'Student Report'!$P$6:$P$155,"&gt;="&amp;Settings!$B$11)</f>
        <v/>
      </c>
      <c r="E7" s="39">
        <f>IFERROR(IF(B7+C7+D7=0,"",IF(B7/(B7+C7+D7)&gt;=0.4,"WHOLE CLASS: "&amp;Settings!$E$29,IF(B7=0,"Maintain through spiral review","SMALL GROUP ("&amp;B7&amp;" students): "&amp;Settings!$E$29))),"")</f>
        <v/>
      </c>
    </row>
    <row r="8" ht="34" customHeight="1">
      <c r="A8" s="30" t="inlineStr">
        <is>
          <t>I-PRA</t>
        </is>
      </c>
      <c r="B8" s="30">
        <f>COUNTIFS('Student Report'!$X$6:$X$155,"&lt;"&amp;Settings!$B$12,'Student Report'!$X$6:$X$155,"&gt;=0")+COUNTIFS('Student Report'!$X$6:$X$155,"",'Student Report'!$Q$6:$Q$155,"&lt;"&amp;Settings!$B$12,'Student Report'!$Q$6:$Q$155,"&gt;=0")</f>
        <v/>
      </c>
      <c r="C8" s="30">
        <f>COUNTIFS('Student Report'!$X$6:$X$155,"&gt;="&amp;Settings!$B$12,'Student Report'!$X$6:$X$155,"&lt;"&amp;Settings!$B$11)+COUNTIFS('Student Report'!$X$6:$X$155,"",'Student Report'!$Q$6:$Q$155,"&gt;="&amp;Settings!$B$12,'Student Report'!$Q$6:$Q$155,"&lt;"&amp;Settings!$B$11)</f>
        <v/>
      </c>
      <c r="D8" s="30">
        <f>COUNTIFS('Student Report'!$X$6:$X$155,"&gt;="&amp;Settings!$B$11)+COUNTIFS('Student Report'!$X$6:$X$155,"",'Student Report'!$Q$6:$Q$155,"&gt;="&amp;Settings!$B$11)</f>
        <v/>
      </c>
      <c r="E8" s="39">
        <f>IFERROR(IF(B8+C8+D8=0,"",IF(B8/(B8+C8+D8)&gt;=0.4,"WHOLE CLASS: "&amp;Settings!$E$30,IF(B8=0,"Maintain through spiral review","SMALL GROUP ("&amp;B8&amp;" students): "&amp;Settings!$E$30))),"")</f>
        <v/>
      </c>
    </row>
    <row r="9" ht="34" customHeight="1">
      <c r="A9" s="30" t="inlineStr">
        <is>
          <t>I-LNG</t>
        </is>
      </c>
      <c r="B9" s="30">
        <f>COUNTIFS('Student Report'!$Y$6:$Y$155,"&lt;"&amp;Settings!$B$12,'Student Report'!$Y$6:$Y$155,"&gt;=0")+COUNTIFS('Student Report'!$Y$6:$Y$155,"",'Student Report'!$R$6:$R$155,"&lt;"&amp;Settings!$B$12,'Student Report'!$R$6:$R$155,"&gt;=0")</f>
        <v/>
      </c>
      <c r="C9" s="30">
        <f>COUNTIFS('Student Report'!$Y$6:$Y$155,"&gt;="&amp;Settings!$B$12,'Student Report'!$Y$6:$Y$155,"&lt;"&amp;Settings!$B$11)+COUNTIFS('Student Report'!$Y$6:$Y$155,"",'Student Report'!$R$6:$R$155,"&gt;="&amp;Settings!$B$12,'Student Report'!$R$6:$R$155,"&lt;"&amp;Settings!$B$11)</f>
        <v/>
      </c>
      <c r="D9" s="30">
        <f>COUNTIFS('Student Report'!$Y$6:$Y$155,"&gt;="&amp;Settings!$B$11)+COUNTIFS('Student Report'!$Y$6:$Y$155,"",'Student Report'!$R$6:$R$155,"&gt;="&amp;Settings!$B$11)</f>
        <v/>
      </c>
      <c r="E9" s="39">
        <f>IFERROR(IF(B9+C9+D9=0,"",IF(B9/(B9+C9+D9)&gt;=0.4,"WHOLE CLASS: "&amp;Settings!$E$31,IF(B9=0,"Maintain through spiral review","SMALL GROUP ("&amp;B9&amp;" students): "&amp;Settings!$E$31))),"")</f>
        <v/>
      </c>
    </row>
    <row r="10" ht="34" customHeight="1">
      <c r="A10" s="30" t="inlineStr">
        <is>
          <t>C-CSS</t>
        </is>
      </c>
      <c r="B10" s="30">
        <f>COUNTIFS('Student Report'!$Z$6:$Z$155,"&lt;"&amp;Settings!$B$12,'Student Report'!$Z$6:$Z$155,"&gt;=0")+COUNTIFS('Student Report'!$Z$6:$Z$155,"",'Student Report'!$S$6:$S$155,"&lt;"&amp;Settings!$B$12,'Student Report'!$S$6:$S$155,"&gt;=0")</f>
        <v/>
      </c>
      <c r="C10" s="30">
        <f>COUNTIFS('Student Report'!$Z$6:$Z$155,"&gt;="&amp;Settings!$B$12,'Student Report'!$Z$6:$Z$155,"&lt;"&amp;Settings!$B$11)+COUNTIFS('Student Report'!$Z$6:$Z$155,"",'Student Report'!$S$6:$S$155,"&gt;="&amp;Settings!$B$12,'Student Report'!$S$6:$S$155,"&lt;"&amp;Settings!$B$11)</f>
        <v/>
      </c>
      <c r="D10" s="30">
        <f>COUNTIFS('Student Report'!$Z$6:$Z$155,"&gt;="&amp;Settings!$B$11)+COUNTIFS('Student Report'!$Z$6:$Z$155,"",'Student Report'!$S$6:$S$155,"&gt;="&amp;Settings!$B$11)</f>
        <v/>
      </c>
      <c r="E10" s="39">
        <f>IFERROR(IF(B10+C10+D10=0,"",IF(B10/(B10+C10+D10)&gt;=0.4,"WHOLE CLASS: "&amp;Settings!$E$32,IF(B10=0,"Maintain through spiral review","SMALL GROUP ("&amp;B10&amp;" students): "&amp;Settings!$E$32))),"")</f>
        <v/>
      </c>
    </row>
    <row r="11" ht="34" customHeight="1">
      <c r="A11" s="30" t="inlineStr">
        <is>
          <t>C-TEC</t>
        </is>
      </c>
      <c r="B11" s="30">
        <f>COUNTIFS('Student Report'!$AA$6:$AA$155,"&lt;"&amp;Settings!$B$12,'Student Report'!$AA$6:$AA$155,"&gt;=0")+COUNTIFS('Student Report'!$AA$6:$AA$155,"",'Student Report'!$T$6:$T$155,"&lt;"&amp;Settings!$B$12,'Student Report'!$T$6:$T$155,"&gt;=0")</f>
        <v/>
      </c>
      <c r="C11" s="30">
        <f>COUNTIFS('Student Report'!$AA$6:$AA$155,"&gt;="&amp;Settings!$B$12,'Student Report'!$AA$6:$AA$155,"&lt;"&amp;Settings!$B$11)+COUNTIFS('Student Report'!$AA$6:$AA$155,"",'Student Report'!$T$6:$T$155,"&gt;="&amp;Settings!$B$12,'Student Report'!$T$6:$T$155,"&lt;"&amp;Settings!$B$11)</f>
        <v/>
      </c>
      <c r="D11" s="30">
        <f>COUNTIFS('Student Report'!$AA$6:$AA$155,"&gt;="&amp;Settings!$B$11)+COUNTIFS('Student Report'!$AA$6:$AA$155,"",'Student Report'!$T$6:$T$155,"&gt;="&amp;Settings!$B$11)</f>
        <v/>
      </c>
      <c r="E11" s="39">
        <f>IFERROR(IF(B11+C11+D11=0,"",IF(B11/(B11+C11+D11)&gt;=0.4,"WHOLE CLASS: "&amp;Settings!$E$33,IF(B11=0,"Maintain through spiral review","SMALL GROUP ("&amp;B11&amp;" students): "&amp;Settings!$E$33))),"")</f>
        <v/>
      </c>
    </row>
    <row r="12" ht="34" customHeight="1">
      <c r="A12" s="30" t="inlineStr">
        <is>
          <t>C-LNG</t>
        </is>
      </c>
      <c r="B12" s="30">
        <f>COUNTIFS('Student Report'!$AB$6:$AB$155,"&lt;"&amp;Settings!$B$12,'Student Report'!$AB$6:$AB$155,"&gt;=0")+COUNTIFS('Student Report'!$AB$6:$AB$155,"",'Student Report'!$U$6:$U$155,"&lt;"&amp;Settings!$B$12,'Student Report'!$U$6:$U$155,"&gt;=0")</f>
        <v/>
      </c>
      <c r="C12" s="30">
        <f>COUNTIFS('Student Report'!$AB$6:$AB$155,"&gt;="&amp;Settings!$B$12,'Student Report'!$AB$6:$AB$155,"&lt;"&amp;Settings!$B$11)+COUNTIFS('Student Report'!$AB$6:$AB$155,"",'Student Report'!$U$6:$U$155,"&gt;="&amp;Settings!$B$12,'Student Report'!$U$6:$U$155,"&lt;"&amp;Settings!$B$11)</f>
        <v/>
      </c>
      <c r="D12" s="30">
        <f>COUNTIFS('Student Report'!$AB$6:$AB$155,"&gt;="&amp;Settings!$B$11)+COUNTIFS('Student Report'!$AB$6:$AB$155,"",'Student Report'!$U$6:$U$155,"&gt;="&amp;Settings!$B$11)</f>
        <v/>
      </c>
      <c r="E12" s="39">
        <f>IFERROR(IF(B12+C12+D12=0,"",IF(B12/(B12+C12+D12)&gt;=0.4,"WHOLE CLASS: "&amp;Settings!$E$34,IF(B12=0,"Maintain through spiral review","SMALL GROUP ("&amp;B12&amp;" students): "&amp;Settings!$E$34))),"")</f>
        <v/>
      </c>
    </row>
    <row r="14" ht="20" customHeight="1">
      <c r="A14" s="3" t="inlineStr">
        <is>
          <t>Student-level grouping — sort by column F</t>
        </is>
      </c>
    </row>
    <row r="15">
      <c r="A15" s="15" t="inlineStr">
        <is>
          <t>Student ID</t>
        </is>
      </c>
      <c r="B15" s="15" t="inlineStr">
        <is>
          <t>Student Name</t>
        </is>
      </c>
      <c r="C15" s="15" t="inlineStr">
        <is>
          <t>Period</t>
        </is>
      </c>
      <c r="D15" s="15" t="inlineStr">
        <is>
          <t>Post total</t>
        </is>
      </c>
      <c r="E15" s="15" t="inlineStr">
        <is>
          <t>Achievement level</t>
        </is>
      </c>
      <c r="F15" s="15" t="inlineStr">
        <is>
          <t>PRIMARY GROUP</t>
        </is>
      </c>
      <c r="G15" s="15" t="inlineStr">
        <is>
          <t>Secondary group</t>
        </is>
      </c>
      <c r="H15" s="15" t="inlineStr">
        <is>
          <t>Not Yet count</t>
        </is>
      </c>
      <c r="I15" s="15" t="inlineStr">
        <is>
          <t>I-CSS</t>
        </is>
      </c>
      <c r="J15" s="15" t="inlineStr">
        <is>
          <t>I-TEC</t>
        </is>
      </c>
      <c r="K15" s="15" t="inlineStr">
        <is>
          <t>I-PRA</t>
        </is>
      </c>
      <c r="L15" s="15" t="inlineStr">
        <is>
          <t>I-LNG</t>
        </is>
      </c>
      <c r="M15" s="15" t="inlineStr">
        <is>
          <t>C-CSS</t>
        </is>
      </c>
      <c r="N15" s="15" t="inlineStr">
        <is>
          <t>C-TEC</t>
        </is>
      </c>
      <c r="O15" s="15" t="inlineStr">
        <is>
          <t>C-LNG</t>
        </is>
      </c>
    </row>
    <row r="16">
      <c r="A16" s="30">
        <f>'Student Report'!$A6</f>
        <v/>
      </c>
      <c r="B16" s="56">
        <f>'Student Report'!$B6</f>
        <v/>
      </c>
      <c r="C16" s="30">
        <f>'Student Report'!$C6</f>
        <v/>
      </c>
      <c r="D16" s="30">
        <f>'Student Report'!$G6</f>
        <v/>
      </c>
      <c r="E16" s="30">
        <f>'Student Report'!$I6</f>
        <v/>
      </c>
      <c r="F16" s="57">
        <f>'Student Report'!$AJ6</f>
        <v/>
      </c>
      <c r="G16" s="30">
        <f>'Student Report'!$AK6</f>
        <v/>
      </c>
      <c r="H16" s="30">
        <f>IF($B16="","",COUNTIF(I16:O16,"Not Yet"))</f>
        <v/>
      </c>
      <c r="I16" s="30">
        <f>IFERROR(IF('Student Report'!$V6&lt;&gt;"",IF('Student Report'!$V6&gt;=Settings!$B$11,"Mastered",IF('Student Report'!$V6&gt;=Settings!$B$12,"Approaching","Not Yet")),IF('Student Report'!$O6&lt;&gt;"",IF('Student Report'!$O6&gt;=Settings!$B$11,"Mastered",IF('Student Report'!$O6&gt;=Settings!$B$12,"Approaching","Not Yet")),"")),"")</f>
        <v/>
      </c>
      <c r="J16" s="30">
        <f>IFERROR(IF('Student Report'!$W6&lt;&gt;"",IF('Student Report'!$W6&gt;=Settings!$B$11,"Mastered",IF('Student Report'!$W6&gt;=Settings!$B$12,"Approaching","Not Yet")),IF('Student Report'!$P6&lt;&gt;"",IF('Student Report'!$P6&gt;=Settings!$B$11,"Mastered",IF('Student Report'!$P6&gt;=Settings!$B$12,"Approaching","Not Yet")),"")),"")</f>
        <v/>
      </c>
      <c r="K16" s="30">
        <f>IFERROR(IF('Student Report'!$X6&lt;&gt;"",IF('Student Report'!$X6&gt;=Settings!$B$11,"Mastered",IF('Student Report'!$X6&gt;=Settings!$B$12,"Approaching","Not Yet")),IF('Student Report'!$Q6&lt;&gt;"",IF('Student Report'!$Q6&gt;=Settings!$B$11,"Mastered",IF('Student Report'!$Q6&gt;=Settings!$B$12,"Approaching","Not Yet")),"")),"")</f>
        <v/>
      </c>
      <c r="L16" s="30">
        <f>IFERROR(IF('Student Report'!$Y6&lt;&gt;"",IF('Student Report'!$Y6&gt;=Settings!$B$11,"Mastered",IF('Student Report'!$Y6&gt;=Settings!$B$12,"Approaching","Not Yet")),IF('Student Report'!$R6&lt;&gt;"",IF('Student Report'!$R6&gt;=Settings!$B$11,"Mastered",IF('Student Report'!$R6&gt;=Settings!$B$12,"Approaching","Not Yet")),"")),"")</f>
        <v/>
      </c>
      <c r="M16" s="30">
        <f>IFERROR(IF('Student Report'!$Z6&lt;&gt;"",IF('Student Report'!$Z6&gt;=Settings!$B$11,"Mastered",IF('Student Report'!$Z6&gt;=Settings!$B$12,"Approaching","Not Yet")),IF('Student Report'!$S6&lt;&gt;"",IF('Student Report'!$S6&gt;=Settings!$B$11,"Mastered",IF('Student Report'!$S6&gt;=Settings!$B$12,"Approaching","Not Yet")),"")),"")</f>
        <v/>
      </c>
      <c r="N16" s="30">
        <f>IFERROR(IF('Student Report'!$AA6&lt;&gt;"",IF('Student Report'!$AA6&gt;=Settings!$B$11,"Mastered",IF('Student Report'!$AA6&gt;=Settings!$B$12,"Approaching","Not Yet")),IF('Student Report'!$T6&lt;&gt;"",IF('Student Report'!$T6&gt;=Settings!$B$11,"Mastered",IF('Student Report'!$T6&gt;=Settings!$B$12,"Approaching","Not Yet")),"")),"")</f>
        <v/>
      </c>
      <c r="O16" s="30">
        <f>IFERROR(IF('Student Report'!$AB6&lt;&gt;"",IF('Student Report'!$AB6&gt;=Settings!$B$11,"Mastered",IF('Student Report'!$AB6&gt;=Settings!$B$12,"Approaching","Not Yet")),IF('Student Report'!$U6&lt;&gt;"",IF('Student Report'!$U6&gt;=Settings!$B$11,"Mastered",IF('Student Report'!$U6&gt;=Settings!$B$12,"Approaching","Not Yet")),"")),"")</f>
        <v/>
      </c>
    </row>
    <row r="17">
      <c r="A17" s="30">
        <f>'Student Report'!$A7</f>
        <v/>
      </c>
      <c r="B17" s="56">
        <f>'Student Report'!$B7</f>
        <v/>
      </c>
      <c r="C17" s="30">
        <f>'Student Report'!$C7</f>
        <v/>
      </c>
      <c r="D17" s="30">
        <f>'Student Report'!$G7</f>
        <v/>
      </c>
      <c r="E17" s="30">
        <f>'Student Report'!$I7</f>
        <v/>
      </c>
      <c r="F17" s="57">
        <f>'Student Report'!$AJ7</f>
        <v/>
      </c>
      <c r="G17" s="30">
        <f>'Student Report'!$AK7</f>
        <v/>
      </c>
      <c r="H17" s="30">
        <f>IF($B17="","",COUNTIF(I17:O17,"Not Yet"))</f>
        <v/>
      </c>
      <c r="I17" s="30">
        <f>IFERROR(IF('Student Report'!$V7&lt;&gt;"",IF('Student Report'!$V7&gt;=Settings!$B$11,"Mastered",IF('Student Report'!$V7&gt;=Settings!$B$12,"Approaching","Not Yet")),IF('Student Report'!$O7&lt;&gt;"",IF('Student Report'!$O7&gt;=Settings!$B$11,"Mastered",IF('Student Report'!$O7&gt;=Settings!$B$12,"Approaching","Not Yet")),"")),"")</f>
        <v/>
      </c>
      <c r="J17" s="30">
        <f>IFERROR(IF('Student Report'!$W7&lt;&gt;"",IF('Student Report'!$W7&gt;=Settings!$B$11,"Mastered",IF('Student Report'!$W7&gt;=Settings!$B$12,"Approaching","Not Yet")),IF('Student Report'!$P7&lt;&gt;"",IF('Student Report'!$P7&gt;=Settings!$B$11,"Mastered",IF('Student Report'!$P7&gt;=Settings!$B$12,"Approaching","Not Yet")),"")),"")</f>
        <v/>
      </c>
      <c r="K17" s="30">
        <f>IFERROR(IF('Student Report'!$X7&lt;&gt;"",IF('Student Report'!$X7&gt;=Settings!$B$11,"Mastered",IF('Student Report'!$X7&gt;=Settings!$B$12,"Approaching","Not Yet")),IF('Student Report'!$Q7&lt;&gt;"",IF('Student Report'!$Q7&gt;=Settings!$B$11,"Mastered",IF('Student Report'!$Q7&gt;=Settings!$B$12,"Approaching","Not Yet")),"")),"")</f>
        <v/>
      </c>
      <c r="L17" s="30">
        <f>IFERROR(IF('Student Report'!$Y7&lt;&gt;"",IF('Student Report'!$Y7&gt;=Settings!$B$11,"Mastered",IF('Student Report'!$Y7&gt;=Settings!$B$12,"Approaching","Not Yet")),IF('Student Report'!$R7&lt;&gt;"",IF('Student Report'!$R7&gt;=Settings!$B$11,"Mastered",IF('Student Report'!$R7&gt;=Settings!$B$12,"Approaching","Not Yet")),"")),"")</f>
        <v/>
      </c>
      <c r="M17" s="30">
        <f>IFERROR(IF('Student Report'!$Z7&lt;&gt;"",IF('Student Report'!$Z7&gt;=Settings!$B$11,"Mastered",IF('Student Report'!$Z7&gt;=Settings!$B$12,"Approaching","Not Yet")),IF('Student Report'!$S7&lt;&gt;"",IF('Student Report'!$S7&gt;=Settings!$B$11,"Mastered",IF('Student Report'!$S7&gt;=Settings!$B$12,"Approaching","Not Yet")),"")),"")</f>
        <v/>
      </c>
      <c r="N17" s="30">
        <f>IFERROR(IF('Student Report'!$AA7&lt;&gt;"",IF('Student Report'!$AA7&gt;=Settings!$B$11,"Mastered",IF('Student Report'!$AA7&gt;=Settings!$B$12,"Approaching","Not Yet")),IF('Student Report'!$T7&lt;&gt;"",IF('Student Report'!$T7&gt;=Settings!$B$11,"Mastered",IF('Student Report'!$T7&gt;=Settings!$B$12,"Approaching","Not Yet")),"")),"")</f>
        <v/>
      </c>
      <c r="O17" s="30">
        <f>IFERROR(IF('Student Report'!$AB7&lt;&gt;"",IF('Student Report'!$AB7&gt;=Settings!$B$11,"Mastered",IF('Student Report'!$AB7&gt;=Settings!$B$12,"Approaching","Not Yet")),IF('Student Report'!$U7&lt;&gt;"",IF('Student Report'!$U7&gt;=Settings!$B$11,"Mastered",IF('Student Report'!$U7&gt;=Settings!$B$12,"Approaching","Not Yet")),"")),"")</f>
        <v/>
      </c>
    </row>
    <row r="18">
      <c r="A18" s="30">
        <f>'Student Report'!$A8</f>
        <v/>
      </c>
      <c r="B18" s="56">
        <f>'Student Report'!$B8</f>
        <v/>
      </c>
      <c r="C18" s="30">
        <f>'Student Report'!$C8</f>
        <v/>
      </c>
      <c r="D18" s="30">
        <f>'Student Report'!$G8</f>
        <v/>
      </c>
      <c r="E18" s="30">
        <f>'Student Report'!$I8</f>
        <v/>
      </c>
      <c r="F18" s="57">
        <f>'Student Report'!$AJ8</f>
        <v/>
      </c>
      <c r="G18" s="30">
        <f>'Student Report'!$AK8</f>
        <v/>
      </c>
      <c r="H18" s="30">
        <f>IF($B18="","",COUNTIF(I18:O18,"Not Yet"))</f>
        <v/>
      </c>
      <c r="I18" s="30">
        <f>IFERROR(IF('Student Report'!$V8&lt;&gt;"",IF('Student Report'!$V8&gt;=Settings!$B$11,"Mastered",IF('Student Report'!$V8&gt;=Settings!$B$12,"Approaching","Not Yet")),IF('Student Report'!$O8&lt;&gt;"",IF('Student Report'!$O8&gt;=Settings!$B$11,"Mastered",IF('Student Report'!$O8&gt;=Settings!$B$12,"Approaching","Not Yet")),"")),"")</f>
        <v/>
      </c>
      <c r="J18" s="30">
        <f>IFERROR(IF('Student Report'!$W8&lt;&gt;"",IF('Student Report'!$W8&gt;=Settings!$B$11,"Mastered",IF('Student Report'!$W8&gt;=Settings!$B$12,"Approaching","Not Yet")),IF('Student Report'!$P8&lt;&gt;"",IF('Student Report'!$P8&gt;=Settings!$B$11,"Mastered",IF('Student Report'!$P8&gt;=Settings!$B$12,"Approaching","Not Yet")),"")),"")</f>
        <v/>
      </c>
      <c r="K18" s="30">
        <f>IFERROR(IF('Student Report'!$X8&lt;&gt;"",IF('Student Report'!$X8&gt;=Settings!$B$11,"Mastered",IF('Student Report'!$X8&gt;=Settings!$B$12,"Approaching","Not Yet")),IF('Student Report'!$Q8&lt;&gt;"",IF('Student Report'!$Q8&gt;=Settings!$B$11,"Mastered",IF('Student Report'!$Q8&gt;=Settings!$B$12,"Approaching","Not Yet")),"")),"")</f>
        <v/>
      </c>
      <c r="L18" s="30">
        <f>IFERROR(IF('Student Report'!$Y8&lt;&gt;"",IF('Student Report'!$Y8&gt;=Settings!$B$11,"Mastered",IF('Student Report'!$Y8&gt;=Settings!$B$12,"Approaching","Not Yet")),IF('Student Report'!$R8&lt;&gt;"",IF('Student Report'!$R8&gt;=Settings!$B$11,"Mastered",IF('Student Report'!$R8&gt;=Settings!$B$12,"Approaching","Not Yet")),"")),"")</f>
        <v/>
      </c>
      <c r="M18" s="30">
        <f>IFERROR(IF('Student Report'!$Z8&lt;&gt;"",IF('Student Report'!$Z8&gt;=Settings!$B$11,"Mastered",IF('Student Report'!$Z8&gt;=Settings!$B$12,"Approaching","Not Yet")),IF('Student Report'!$S8&lt;&gt;"",IF('Student Report'!$S8&gt;=Settings!$B$11,"Mastered",IF('Student Report'!$S8&gt;=Settings!$B$12,"Approaching","Not Yet")),"")),"")</f>
        <v/>
      </c>
      <c r="N18" s="30">
        <f>IFERROR(IF('Student Report'!$AA8&lt;&gt;"",IF('Student Report'!$AA8&gt;=Settings!$B$11,"Mastered",IF('Student Report'!$AA8&gt;=Settings!$B$12,"Approaching","Not Yet")),IF('Student Report'!$T8&lt;&gt;"",IF('Student Report'!$T8&gt;=Settings!$B$11,"Mastered",IF('Student Report'!$T8&gt;=Settings!$B$12,"Approaching","Not Yet")),"")),"")</f>
        <v/>
      </c>
      <c r="O18" s="30">
        <f>IFERROR(IF('Student Report'!$AB8&lt;&gt;"",IF('Student Report'!$AB8&gt;=Settings!$B$11,"Mastered",IF('Student Report'!$AB8&gt;=Settings!$B$12,"Approaching","Not Yet")),IF('Student Report'!$U8&lt;&gt;"",IF('Student Report'!$U8&gt;=Settings!$B$11,"Mastered",IF('Student Report'!$U8&gt;=Settings!$B$12,"Approaching","Not Yet")),"")),"")</f>
        <v/>
      </c>
    </row>
    <row r="19">
      <c r="A19" s="30">
        <f>'Student Report'!$A9</f>
        <v/>
      </c>
      <c r="B19" s="56">
        <f>'Student Report'!$B9</f>
        <v/>
      </c>
      <c r="C19" s="30">
        <f>'Student Report'!$C9</f>
        <v/>
      </c>
      <c r="D19" s="30">
        <f>'Student Report'!$G9</f>
        <v/>
      </c>
      <c r="E19" s="30">
        <f>'Student Report'!$I9</f>
        <v/>
      </c>
      <c r="F19" s="57">
        <f>'Student Report'!$AJ9</f>
        <v/>
      </c>
      <c r="G19" s="30">
        <f>'Student Report'!$AK9</f>
        <v/>
      </c>
      <c r="H19" s="30">
        <f>IF($B19="","",COUNTIF(I19:O19,"Not Yet"))</f>
        <v/>
      </c>
      <c r="I19" s="30">
        <f>IFERROR(IF('Student Report'!$V9&lt;&gt;"",IF('Student Report'!$V9&gt;=Settings!$B$11,"Mastered",IF('Student Report'!$V9&gt;=Settings!$B$12,"Approaching","Not Yet")),IF('Student Report'!$O9&lt;&gt;"",IF('Student Report'!$O9&gt;=Settings!$B$11,"Mastered",IF('Student Report'!$O9&gt;=Settings!$B$12,"Approaching","Not Yet")),"")),"")</f>
        <v/>
      </c>
      <c r="J19" s="30">
        <f>IFERROR(IF('Student Report'!$W9&lt;&gt;"",IF('Student Report'!$W9&gt;=Settings!$B$11,"Mastered",IF('Student Report'!$W9&gt;=Settings!$B$12,"Approaching","Not Yet")),IF('Student Report'!$P9&lt;&gt;"",IF('Student Report'!$P9&gt;=Settings!$B$11,"Mastered",IF('Student Report'!$P9&gt;=Settings!$B$12,"Approaching","Not Yet")),"")),"")</f>
        <v/>
      </c>
      <c r="K19" s="30">
        <f>IFERROR(IF('Student Report'!$X9&lt;&gt;"",IF('Student Report'!$X9&gt;=Settings!$B$11,"Mastered",IF('Student Report'!$X9&gt;=Settings!$B$12,"Approaching","Not Yet")),IF('Student Report'!$Q9&lt;&gt;"",IF('Student Report'!$Q9&gt;=Settings!$B$11,"Mastered",IF('Student Report'!$Q9&gt;=Settings!$B$12,"Approaching","Not Yet")),"")),"")</f>
        <v/>
      </c>
      <c r="L19" s="30">
        <f>IFERROR(IF('Student Report'!$Y9&lt;&gt;"",IF('Student Report'!$Y9&gt;=Settings!$B$11,"Mastered",IF('Student Report'!$Y9&gt;=Settings!$B$12,"Approaching","Not Yet")),IF('Student Report'!$R9&lt;&gt;"",IF('Student Report'!$R9&gt;=Settings!$B$11,"Mastered",IF('Student Report'!$R9&gt;=Settings!$B$12,"Approaching","Not Yet")),"")),"")</f>
        <v/>
      </c>
      <c r="M19" s="30">
        <f>IFERROR(IF('Student Report'!$Z9&lt;&gt;"",IF('Student Report'!$Z9&gt;=Settings!$B$11,"Mastered",IF('Student Report'!$Z9&gt;=Settings!$B$12,"Approaching","Not Yet")),IF('Student Report'!$S9&lt;&gt;"",IF('Student Report'!$S9&gt;=Settings!$B$11,"Mastered",IF('Student Report'!$S9&gt;=Settings!$B$12,"Approaching","Not Yet")),"")),"")</f>
        <v/>
      </c>
      <c r="N19" s="30">
        <f>IFERROR(IF('Student Report'!$AA9&lt;&gt;"",IF('Student Report'!$AA9&gt;=Settings!$B$11,"Mastered",IF('Student Report'!$AA9&gt;=Settings!$B$12,"Approaching","Not Yet")),IF('Student Report'!$T9&lt;&gt;"",IF('Student Report'!$T9&gt;=Settings!$B$11,"Mastered",IF('Student Report'!$T9&gt;=Settings!$B$12,"Approaching","Not Yet")),"")),"")</f>
        <v/>
      </c>
      <c r="O19" s="30">
        <f>IFERROR(IF('Student Report'!$AB9&lt;&gt;"",IF('Student Report'!$AB9&gt;=Settings!$B$11,"Mastered",IF('Student Report'!$AB9&gt;=Settings!$B$12,"Approaching","Not Yet")),IF('Student Report'!$U9&lt;&gt;"",IF('Student Report'!$U9&gt;=Settings!$B$11,"Mastered",IF('Student Report'!$U9&gt;=Settings!$B$12,"Approaching","Not Yet")),"")),"")</f>
        <v/>
      </c>
    </row>
    <row r="20">
      <c r="A20" s="30">
        <f>'Student Report'!$A10</f>
        <v/>
      </c>
      <c r="B20" s="56">
        <f>'Student Report'!$B10</f>
        <v/>
      </c>
      <c r="C20" s="30">
        <f>'Student Report'!$C10</f>
        <v/>
      </c>
      <c r="D20" s="30">
        <f>'Student Report'!$G10</f>
        <v/>
      </c>
      <c r="E20" s="30">
        <f>'Student Report'!$I10</f>
        <v/>
      </c>
      <c r="F20" s="57">
        <f>'Student Report'!$AJ10</f>
        <v/>
      </c>
      <c r="G20" s="30">
        <f>'Student Report'!$AK10</f>
        <v/>
      </c>
      <c r="H20" s="30">
        <f>IF($B20="","",COUNTIF(I20:O20,"Not Yet"))</f>
        <v/>
      </c>
      <c r="I20" s="30">
        <f>IFERROR(IF('Student Report'!$V10&lt;&gt;"",IF('Student Report'!$V10&gt;=Settings!$B$11,"Mastered",IF('Student Report'!$V10&gt;=Settings!$B$12,"Approaching","Not Yet")),IF('Student Report'!$O10&lt;&gt;"",IF('Student Report'!$O10&gt;=Settings!$B$11,"Mastered",IF('Student Report'!$O10&gt;=Settings!$B$12,"Approaching","Not Yet")),"")),"")</f>
        <v/>
      </c>
      <c r="J20" s="30">
        <f>IFERROR(IF('Student Report'!$W10&lt;&gt;"",IF('Student Report'!$W10&gt;=Settings!$B$11,"Mastered",IF('Student Report'!$W10&gt;=Settings!$B$12,"Approaching","Not Yet")),IF('Student Report'!$P10&lt;&gt;"",IF('Student Report'!$P10&gt;=Settings!$B$11,"Mastered",IF('Student Report'!$P10&gt;=Settings!$B$12,"Approaching","Not Yet")),"")),"")</f>
        <v/>
      </c>
      <c r="K20" s="30">
        <f>IFERROR(IF('Student Report'!$X10&lt;&gt;"",IF('Student Report'!$X10&gt;=Settings!$B$11,"Mastered",IF('Student Report'!$X10&gt;=Settings!$B$12,"Approaching","Not Yet")),IF('Student Report'!$Q10&lt;&gt;"",IF('Student Report'!$Q10&gt;=Settings!$B$11,"Mastered",IF('Student Report'!$Q10&gt;=Settings!$B$12,"Approaching","Not Yet")),"")),"")</f>
        <v/>
      </c>
      <c r="L20" s="30">
        <f>IFERROR(IF('Student Report'!$Y10&lt;&gt;"",IF('Student Report'!$Y10&gt;=Settings!$B$11,"Mastered",IF('Student Report'!$Y10&gt;=Settings!$B$12,"Approaching","Not Yet")),IF('Student Report'!$R10&lt;&gt;"",IF('Student Report'!$R10&gt;=Settings!$B$11,"Mastered",IF('Student Report'!$R10&gt;=Settings!$B$12,"Approaching","Not Yet")),"")),"")</f>
        <v/>
      </c>
      <c r="M20" s="30">
        <f>IFERROR(IF('Student Report'!$Z10&lt;&gt;"",IF('Student Report'!$Z10&gt;=Settings!$B$11,"Mastered",IF('Student Report'!$Z10&gt;=Settings!$B$12,"Approaching","Not Yet")),IF('Student Report'!$S10&lt;&gt;"",IF('Student Report'!$S10&gt;=Settings!$B$11,"Mastered",IF('Student Report'!$S10&gt;=Settings!$B$12,"Approaching","Not Yet")),"")),"")</f>
        <v/>
      </c>
      <c r="N20" s="30">
        <f>IFERROR(IF('Student Report'!$AA10&lt;&gt;"",IF('Student Report'!$AA10&gt;=Settings!$B$11,"Mastered",IF('Student Report'!$AA10&gt;=Settings!$B$12,"Approaching","Not Yet")),IF('Student Report'!$T10&lt;&gt;"",IF('Student Report'!$T10&gt;=Settings!$B$11,"Mastered",IF('Student Report'!$T10&gt;=Settings!$B$12,"Approaching","Not Yet")),"")),"")</f>
        <v/>
      </c>
      <c r="O20" s="30">
        <f>IFERROR(IF('Student Report'!$AB10&lt;&gt;"",IF('Student Report'!$AB10&gt;=Settings!$B$11,"Mastered",IF('Student Report'!$AB10&gt;=Settings!$B$12,"Approaching","Not Yet")),IF('Student Report'!$U10&lt;&gt;"",IF('Student Report'!$U10&gt;=Settings!$B$11,"Mastered",IF('Student Report'!$U10&gt;=Settings!$B$12,"Approaching","Not Yet")),"")),"")</f>
        <v/>
      </c>
    </row>
    <row r="21">
      <c r="A21" s="30">
        <f>'Student Report'!$A11</f>
        <v/>
      </c>
      <c r="B21" s="56">
        <f>'Student Report'!$B11</f>
        <v/>
      </c>
      <c r="C21" s="30">
        <f>'Student Report'!$C11</f>
        <v/>
      </c>
      <c r="D21" s="30">
        <f>'Student Report'!$G11</f>
        <v/>
      </c>
      <c r="E21" s="30">
        <f>'Student Report'!$I11</f>
        <v/>
      </c>
      <c r="F21" s="57">
        <f>'Student Report'!$AJ11</f>
        <v/>
      </c>
      <c r="G21" s="30">
        <f>'Student Report'!$AK11</f>
        <v/>
      </c>
      <c r="H21" s="30">
        <f>IF($B21="","",COUNTIF(I21:O21,"Not Yet"))</f>
        <v/>
      </c>
      <c r="I21" s="30">
        <f>IFERROR(IF('Student Report'!$V11&lt;&gt;"",IF('Student Report'!$V11&gt;=Settings!$B$11,"Mastered",IF('Student Report'!$V11&gt;=Settings!$B$12,"Approaching","Not Yet")),IF('Student Report'!$O11&lt;&gt;"",IF('Student Report'!$O11&gt;=Settings!$B$11,"Mastered",IF('Student Report'!$O11&gt;=Settings!$B$12,"Approaching","Not Yet")),"")),"")</f>
        <v/>
      </c>
      <c r="J21" s="30">
        <f>IFERROR(IF('Student Report'!$W11&lt;&gt;"",IF('Student Report'!$W11&gt;=Settings!$B$11,"Mastered",IF('Student Report'!$W11&gt;=Settings!$B$12,"Approaching","Not Yet")),IF('Student Report'!$P11&lt;&gt;"",IF('Student Report'!$P11&gt;=Settings!$B$11,"Mastered",IF('Student Report'!$P11&gt;=Settings!$B$12,"Approaching","Not Yet")),"")),"")</f>
        <v/>
      </c>
      <c r="K21" s="30">
        <f>IFERROR(IF('Student Report'!$X11&lt;&gt;"",IF('Student Report'!$X11&gt;=Settings!$B$11,"Mastered",IF('Student Report'!$X11&gt;=Settings!$B$12,"Approaching","Not Yet")),IF('Student Report'!$Q11&lt;&gt;"",IF('Student Report'!$Q11&gt;=Settings!$B$11,"Mastered",IF('Student Report'!$Q11&gt;=Settings!$B$12,"Approaching","Not Yet")),"")),"")</f>
        <v/>
      </c>
      <c r="L21" s="30">
        <f>IFERROR(IF('Student Report'!$Y11&lt;&gt;"",IF('Student Report'!$Y11&gt;=Settings!$B$11,"Mastered",IF('Student Report'!$Y11&gt;=Settings!$B$12,"Approaching","Not Yet")),IF('Student Report'!$R11&lt;&gt;"",IF('Student Report'!$R11&gt;=Settings!$B$11,"Mastered",IF('Student Report'!$R11&gt;=Settings!$B$12,"Approaching","Not Yet")),"")),"")</f>
        <v/>
      </c>
      <c r="M21" s="30">
        <f>IFERROR(IF('Student Report'!$Z11&lt;&gt;"",IF('Student Report'!$Z11&gt;=Settings!$B$11,"Mastered",IF('Student Report'!$Z11&gt;=Settings!$B$12,"Approaching","Not Yet")),IF('Student Report'!$S11&lt;&gt;"",IF('Student Report'!$S11&gt;=Settings!$B$11,"Mastered",IF('Student Report'!$S11&gt;=Settings!$B$12,"Approaching","Not Yet")),"")),"")</f>
        <v/>
      </c>
      <c r="N21" s="30">
        <f>IFERROR(IF('Student Report'!$AA11&lt;&gt;"",IF('Student Report'!$AA11&gt;=Settings!$B$11,"Mastered",IF('Student Report'!$AA11&gt;=Settings!$B$12,"Approaching","Not Yet")),IF('Student Report'!$T11&lt;&gt;"",IF('Student Report'!$T11&gt;=Settings!$B$11,"Mastered",IF('Student Report'!$T11&gt;=Settings!$B$12,"Approaching","Not Yet")),"")),"")</f>
        <v/>
      </c>
      <c r="O21" s="30">
        <f>IFERROR(IF('Student Report'!$AB11&lt;&gt;"",IF('Student Report'!$AB11&gt;=Settings!$B$11,"Mastered",IF('Student Report'!$AB11&gt;=Settings!$B$12,"Approaching","Not Yet")),IF('Student Report'!$U11&lt;&gt;"",IF('Student Report'!$U11&gt;=Settings!$B$11,"Mastered",IF('Student Report'!$U11&gt;=Settings!$B$12,"Approaching","Not Yet")),"")),"")</f>
        <v/>
      </c>
    </row>
    <row r="22">
      <c r="A22" s="30">
        <f>'Student Report'!$A12</f>
        <v/>
      </c>
      <c r="B22" s="56">
        <f>'Student Report'!$B12</f>
        <v/>
      </c>
      <c r="C22" s="30">
        <f>'Student Report'!$C12</f>
        <v/>
      </c>
      <c r="D22" s="30">
        <f>'Student Report'!$G12</f>
        <v/>
      </c>
      <c r="E22" s="30">
        <f>'Student Report'!$I12</f>
        <v/>
      </c>
      <c r="F22" s="57">
        <f>'Student Report'!$AJ12</f>
        <v/>
      </c>
      <c r="G22" s="30">
        <f>'Student Report'!$AK12</f>
        <v/>
      </c>
      <c r="H22" s="30">
        <f>IF($B22="","",COUNTIF(I22:O22,"Not Yet"))</f>
        <v/>
      </c>
      <c r="I22" s="30">
        <f>IFERROR(IF('Student Report'!$V12&lt;&gt;"",IF('Student Report'!$V12&gt;=Settings!$B$11,"Mastered",IF('Student Report'!$V12&gt;=Settings!$B$12,"Approaching","Not Yet")),IF('Student Report'!$O12&lt;&gt;"",IF('Student Report'!$O12&gt;=Settings!$B$11,"Mastered",IF('Student Report'!$O12&gt;=Settings!$B$12,"Approaching","Not Yet")),"")),"")</f>
        <v/>
      </c>
      <c r="J22" s="30">
        <f>IFERROR(IF('Student Report'!$W12&lt;&gt;"",IF('Student Report'!$W12&gt;=Settings!$B$11,"Mastered",IF('Student Report'!$W12&gt;=Settings!$B$12,"Approaching","Not Yet")),IF('Student Report'!$P12&lt;&gt;"",IF('Student Report'!$P12&gt;=Settings!$B$11,"Mastered",IF('Student Report'!$P12&gt;=Settings!$B$12,"Approaching","Not Yet")),"")),"")</f>
        <v/>
      </c>
      <c r="K22" s="30">
        <f>IFERROR(IF('Student Report'!$X12&lt;&gt;"",IF('Student Report'!$X12&gt;=Settings!$B$11,"Mastered",IF('Student Report'!$X12&gt;=Settings!$B$12,"Approaching","Not Yet")),IF('Student Report'!$Q12&lt;&gt;"",IF('Student Report'!$Q12&gt;=Settings!$B$11,"Mastered",IF('Student Report'!$Q12&gt;=Settings!$B$12,"Approaching","Not Yet")),"")),"")</f>
        <v/>
      </c>
      <c r="L22" s="30">
        <f>IFERROR(IF('Student Report'!$Y12&lt;&gt;"",IF('Student Report'!$Y12&gt;=Settings!$B$11,"Mastered",IF('Student Report'!$Y12&gt;=Settings!$B$12,"Approaching","Not Yet")),IF('Student Report'!$R12&lt;&gt;"",IF('Student Report'!$R12&gt;=Settings!$B$11,"Mastered",IF('Student Report'!$R12&gt;=Settings!$B$12,"Approaching","Not Yet")),"")),"")</f>
        <v/>
      </c>
      <c r="M22" s="30">
        <f>IFERROR(IF('Student Report'!$Z12&lt;&gt;"",IF('Student Report'!$Z12&gt;=Settings!$B$11,"Mastered",IF('Student Report'!$Z12&gt;=Settings!$B$12,"Approaching","Not Yet")),IF('Student Report'!$S12&lt;&gt;"",IF('Student Report'!$S12&gt;=Settings!$B$11,"Mastered",IF('Student Report'!$S12&gt;=Settings!$B$12,"Approaching","Not Yet")),"")),"")</f>
        <v/>
      </c>
      <c r="N22" s="30">
        <f>IFERROR(IF('Student Report'!$AA12&lt;&gt;"",IF('Student Report'!$AA12&gt;=Settings!$B$11,"Mastered",IF('Student Report'!$AA12&gt;=Settings!$B$12,"Approaching","Not Yet")),IF('Student Report'!$T12&lt;&gt;"",IF('Student Report'!$T12&gt;=Settings!$B$11,"Mastered",IF('Student Report'!$T12&gt;=Settings!$B$12,"Approaching","Not Yet")),"")),"")</f>
        <v/>
      </c>
      <c r="O22" s="30">
        <f>IFERROR(IF('Student Report'!$AB12&lt;&gt;"",IF('Student Report'!$AB12&gt;=Settings!$B$11,"Mastered",IF('Student Report'!$AB12&gt;=Settings!$B$12,"Approaching","Not Yet")),IF('Student Report'!$U12&lt;&gt;"",IF('Student Report'!$U12&gt;=Settings!$B$11,"Mastered",IF('Student Report'!$U12&gt;=Settings!$B$12,"Approaching","Not Yet")),"")),"")</f>
        <v/>
      </c>
    </row>
    <row r="23">
      <c r="A23" s="30">
        <f>'Student Report'!$A13</f>
        <v/>
      </c>
      <c r="B23" s="56">
        <f>'Student Report'!$B13</f>
        <v/>
      </c>
      <c r="C23" s="30">
        <f>'Student Report'!$C13</f>
        <v/>
      </c>
      <c r="D23" s="30">
        <f>'Student Report'!$G13</f>
        <v/>
      </c>
      <c r="E23" s="30">
        <f>'Student Report'!$I13</f>
        <v/>
      </c>
      <c r="F23" s="57">
        <f>'Student Report'!$AJ13</f>
        <v/>
      </c>
      <c r="G23" s="30">
        <f>'Student Report'!$AK13</f>
        <v/>
      </c>
      <c r="H23" s="30">
        <f>IF($B23="","",COUNTIF(I23:O23,"Not Yet"))</f>
        <v/>
      </c>
      <c r="I23" s="30">
        <f>IFERROR(IF('Student Report'!$V13&lt;&gt;"",IF('Student Report'!$V13&gt;=Settings!$B$11,"Mastered",IF('Student Report'!$V13&gt;=Settings!$B$12,"Approaching","Not Yet")),IF('Student Report'!$O13&lt;&gt;"",IF('Student Report'!$O13&gt;=Settings!$B$11,"Mastered",IF('Student Report'!$O13&gt;=Settings!$B$12,"Approaching","Not Yet")),"")),"")</f>
        <v/>
      </c>
      <c r="J23" s="30">
        <f>IFERROR(IF('Student Report'!$W13&lt;&gt;"",IF('Student Report'!$W13&gt;=Settings!$B$11,"Mastered",IF('Student Report'!$W13&gt;=Settings!$B$12,"Approaching","Not Yet")),IF('Student Report'!$P13&lt;&gt;"",IF('Student Report'!$P13&gt;=Settings!$B$11,"Mastered",IF('Student Report'!$P13&gt;=Settings!$B$12,"Approaching","Not Yet")),"")),"")</f>
        <v/>
      </c>
      <c r="K23" s="30">
        <f>IFERROR(IF('Student Report'!$X13&lt;&gt;"",IF('Student Report'!$X13&gt;=Settings!$B$11,"Mastered",IF('Student Report'!$X13&gt;=Settings!$B$12,"Approaching","Not Yet")),IF('Student Report'!$Q13&lt;&gt;"",IF('Student Report'!$Q13&gt;=Settings!$B$11,"Mastered",IF('Student Report'!$Q13&gt;=Settings!$B$12,"Approaching","Not Yet")),"")),"")</f>
        <v/>
      </c>
      <c r="L23" s="30">
        <f>IFERROR(IF('Student Report'!$Y13&lt;&gt;"",IF('Student Report'!$Y13&gt;=Settings!$B$11,"Mastered",IF('Student Report'!$Y13&gt;=Settings!$B$12,"Approaching","Not Yet")),IF('Student Report'!$R13&lt;&gt;"",IF('Student Report'!$R13&gt;=Settings!$B$11,"Mastered",IF('Student Report'!$R13&gt;=Settings!$B$12,"Approaching","Not Yet")),"")),"")</f>
        <v/>
      </c>
      <c r="M23" s="30">
        <f>IFERROR(IF('Student Report'!$Z13&lt;&gt;"",IF('Student Report'!$Z13&gt;=Settings!$B$11,"Mastered",IF('Student Report'!$Z13&gt;=Settings!$B$12,"Approaching","Not Yet")),IF('Student Report'!$S13&lt;&gt;"",IF('Student Report'!$S13&gt;=Settings!$B$11,"Mastered",IF('Student Report'!$S13&gt;=Settings!$B$12,"Approaching","Not Yet")),"")),"")</f>
        <v/>
      </c>
      <c r="N23" s="30">
        <f>IFERROR(IF('Student Report'!$AA13&lt;&gt;"",IF('Student Report'!$AA13&gt;=Settings!$B$11,"Mastered",IF('Student Report'!$AA13&gt;=Settings!$B$12,"Approaching","Not Yet")),IF('Student Report'!$T13&lt;&gt;"",IF('Student Report'!$T13&gt;=Settings!$B$11,"Mastered",IF('Student Report'!$T13&gt;=Settings!$B$12,"Approaching","Not Yet")),"")),"")</f>
        <v/>
      </c>
      <c r="O23" s="30">
        <f>IFERROR(IF('Student Report'!$AB13&lt;&gt;"",IF('Student Report'!$AB13&gt;=Settings!$B$11,"Mastered",IF('Student Report'!$AB13&gt;=Settings!$B$12,"Approaching","Not Yet")),IF('Student Report'!$U13&lt;&gt;"",IF('Student Report'!$U13&gt;=Settings!$B$11,"Mastered",IF('Student Report'!$U13&gt;=Settings!$B$12,"Approaching","Not Yet")),"")),"")</f>
        <v/>
      </c>
    </row>
    <row r="24">
      <c r="A24" s="30">
        <f>'Student Report'!$A14</f>
        <v/>
      </c>
      <c r="B24" s="56">
        <f>'Student Report'!$B14</f>
        <v/>
      </c>
      <c r="C24" s="30">
        <f>'Student Report'!$C14</f>
        <v/>
      </c>
      <c r="D24" s="30">
        <f>'Student Report'!$G14</f>
        <v/>
      </c>
      <c r="E24" s="30">
        <f>'Student Report'!$I14</f>
        <v/>
      </c>
      <c r="F24" s="57">
        <f>'Student Report'!$AJ14</f>
        <v/>
      </c>
      <c r="G24" s="30">
        <f>'Student Report'!$AK14</f>
        <v/>
      </c>
      <c r="H24" s="30">
        <f>IF($B24="","",COUNTIF(I24:O24,"Not Yet"))</f>
        <v/>
      </c>
      <c r="I24" s="30">
        <f>IFERROR(IF('Student Report'!$V14&lt;&gt;"",IF('Student Report'!$V14&gt;=Settings!$B$11,"Mastered",IF('Student Report'!$V14&gt;=Settings!$B$12,"Approaching","Not Yet")),IF('Student Report'!$O14&lt;&gt;"",IF('Student Report'!$O14&gt;=Settings!$B$11,"Mastered",IF('Student Report'!$O14&gt;=Settings!$B$12,"Approaching","Not Yet")),"")),"")</f>
        <v/>
      </c>
      <c r="J24" s="30">
        <f>IFERROR(IF('Student Report'!$W14&lt;&gt;"",IF('Student Report'!$W14&gt;=Settings!$B$11,"Mastered",IF('Student Report'!$W14&gt;=Settings!$B$12,"Approaching","Not Yet")),IF('Student Report'!$P14&lt;&gt;"",IF('Student Report'!$P14&gt;=Settings!$B$11,"Mastered",IF('Student Report'!$P14&gt;=Settings!$B$12,"Approaching","Not Yet")),"")),"")</f>
        <v/>
      </c>
      <c r="K24" s="30">
        <f>IFERROR(IF('Student Report'!$X14&lt;&gt;"",IF('Student Report'!$X14&gt;=Settings!$B$11,"Mastered",IF('Student Report'!$X14&gt;=Settings!$B$12,"Approaching","Not Yet")),IF('Student Report'!$Q14&lt;&gt;"",IF('Student Report'!$Q14&gt;=Settings!$B$11,"Mastered",IF('Student Report'!$Q14&gt;=Settings!$B$12,"Approaching","Not Yet")),"")),"")</f>
        <v/>
      </c>
      <c r="L24" s="30">
        <f>IFERROR(IF('Student Report'!$Y14&lt;&gt;"",IF('Student Report'!$Y14&gt;=Settings!$B$11,"Mastered",IF('Student Report'!$Y14&gt;=Settings!$B$12,"Approaching","Not Yet")),IF('Student Report'!$R14&lt;&gt;"",IF('Student Report'!$R14&gt;=Settings!$B$11,"Mastered",IF('Student Report'!$R14&gt;=Settings!$B$12,"Approaching","Not Yet")),"")),"")</f>
        <v/>
      </c>
      <c r="M24" s="30">
        <f>IFERROR(IF('Student Report'!$Z14&lt;&gt;"",IF('Student Report'!$Z14&gt;=Settings!$B$11,"Mastered",IF('Student Report'!$Z14&gt;=Settings!$B$12,"Approaching","Not Yet")),IF('Student Report'!$S14&lt;&gt;"",IF('Student Report'!$S14&gt;=Settings!$B$11,"Mastered",IF('Student Report'!$S14&gt;=Settings!$B$12,"Approaching","Not Yet")),"")),"")</f>
        <v/>
      </c>
      <c r="N24" s="30">
        <f>IFERROR(IF('Student Report'!$AA14&lt;&gt;"",IF('Student Report'!$AA14&gt;=Settings!$B$11,"Mastered",IF('Student Report'!$AA14&gt;=Settings!$B$12,"Approaching","Not Yet")),IF('Student Report'!$T14&lt;&gt;"",IF('Student Report'!$T14&gt;=Settings!$B$11,"Mastered",IF('Student Report'!$T14&gt;=Settings!$B$12,"Approaching","Not Yet")),"")),"")</f>
        <v/>
      </c>
      <c r="O24" s="30">
        <f>IFERROR(IF('Student Report'!$AB14&lt;&gt;"",IF('Student Report'!$AB14&gt;=Settings!$B$11,"Mastered",IF('Student Report'!$AB14&gt;=Settings!$B$12,"Approaching","Not Yet")),IF('Student Report'!$U14&lt;&gt;"",IF('Student Report'!$U14&gt;=Settings!$B$11,"Mastered",IF('Student Report'!$U14&gt;=Settings!$B$12,"Approaching","Not Yet")),"")),"")</f>
        <v/>
      </c>
    </row>
    <row r="25">
      <c r="A25" s="30">
        <f>'Student Report'!$A15</f>
        <v/>
      </c>
      <c r="B25" s="56">
        <f>'Student Report'!$B15</f>
        <v/>
      </c>
      <c r="C25" s="30">
        <f>'Student Report'!$C15</f>
        <v/>
      </c>
      <c r="D25" s="30">
        <f>'Student Report'!$G15</f>
        <v/>
      </c>
      <c r="E25" s="30">
        <f>'Student Report'!$I15</f>
        <v/>
      </c>
      <c r="F25" s="57">
        <f>'Student Report'!$AJ15</f>
        <v/>
      </c>
      <c r="G25" s="30">
        <f>'Student Report'!$AK15</f>
        <v/>
      </c>
      <c r="H25" s="30">
        <f>IF($B25="","",COUNTIF(I25:O25,"Not Yet"))</f>
        <v/>
      </c>
      <c r="I25" s="30">
        <f>IFERROR(IF('Student Report'!$V15&lt;&gt;"",IF('Student Report'!$V15&gt;=Settings!$B$11,"Mastered",IF('Student Report'!$V15&gt;=Settings!$B$12,"Approaching","Not Yet")),IF('Student Report'!$O15&lt;&gt;"",IF('Student Report'!$O15&gt;=Settings!$B$11,"Mastered",IF('Student Report'!$O15&gt;=Settings!$B$12,"Approaching","Not Yet")),"")),"")</f>
        <v/>
      </c>
      <c r="J25" s="30">
        <f>IFERROR(IF('Student Report'!$W15&lt;&gt;"",IF('Student Report'!$W15&gt;=Settings!$B$11,"Mastered",IF('Student Report'!$W15&gt;=Settings!$B$12,"Approaching","Not Yet")),IF('Student Report'!$P15&lt;&gt;"",IF('Student Report'!$P15&gt;=Settings!$B$11,"Mastered",IF('Student Report'!$P15&gt;=Settings!$B$12,"Approaching","Not Yet")),"")),"")</f>
        <v/>
      </c>
      <c r="K25" s="30">
        <f>IFERROR(IF('Student Report'!$X15&lt;&gt;"",IF('Student Report'!$X15&gt;=Settings!$B$11,"Mastered",IF('Student Report'!$X15&gt;=Settings!$B$12,"Approaching","Not Yet")),IF('Student Report'!$Q15&lt;&gt;"",IF('Student Report'!$Q15&gt;=Settings!$B$11,"Mastered",IF('Student Report'!$Q15&gt;=Settings!$B$12,"Approaching","Not Yet")),"")),"")</f>
        <v/>
      </c>
      <c r="L25" s="30">
        <f>IFERROR(IF('Student Report'!$Y15&lt;&gt;"",IF('Student Report'!$Y15&gt;=Settings!$B$11,"Mastered",IF('Student Report'!$Y15&gt;=Settings!$B$12,"Approaching","Not Yet")),IF('Student Report'!$R15&lt;&gt;"",IF('Student Report'!$R15&gt;=Settings!$B$11,"Mastered",IF('Student Report'!$R15&gt;=Settings!$B$12,"Approaching","Not Yet")),"")),"")</f>
        <v/>
      </c>
      <c r="M25" s="30">
        <f>IFERROR(IF('Student Report'!$Z15&lt;&gt;"",IF('Student Report'!$Z15&gt;=Settings!$B$11,"Mastered",IF('Student Report'!$Z15&gt;=Settings!$B$12,"Approaching","Not Yet")),IF('Student Report'!$S15&lt;&gt;"",IF('Student Report'!$S15&gt;=Settings!$B$11,"Mastered",IF('Student Report'!$S15&gt;=Settings!$B$12,"Approaching","Not Yet")),"")),"")</f>
        <v/>
      </c>
      <c r="N25" s="30">
        <f>IFERROR(IF('Student Report'!$AA15&lt;&gt;"",IF('Student Report'!$AA15&gt;=Settings!$B$11,"Mastered",IF('Student Report'!$AA15&gt;=Settings!$B$12,"Approaching","Not Yet")),IF('Student Report'!$T15&lt;&gt;"",IF('Student Report'!$T15&gt;=Settings!$B$11,"Mastered",IF('Student Report'!$T15&gt;=Settings!$B$12,"Approaching","Not Yet")),"")),"")</f>
        <v/>
      </c>
      <c r="O25" s="30">
        <f>IFERROR(IF('Student Report'!$AB15&lt;&gt;"",IF('Student Report'!$AB15&gt;=Settings!$B$11,"Mastered",IF('Student Report'!$AB15&gt;=Settings!$B$12,"Approaching","Not Yet")),IF('Student Report'!$U15&lt;&gt;"",IF('Student Report'!$U15&gt;=Settings!$B$11,"Mastered",IF('Student Report'!$U15&gt;=Settings!$B$12,"Approaching","Not Yet")),"")),"")</f>
        <v/>
      </c>
    </row>
    <row r="26">
      <c r="A26" s="30">
        <f>'Student Report'!$A16</f>
        <v/>
      </c>
      <c r="B26" s="56">
        <f>'Student Report'!$B16</f>
        <v/>
      </c>
      <c r="C26" s="30">
        <f>'Student Report'!$C16</f>
        <v/>
      </c>
      <c r="D26" s="30">
        <f>'Student Report'!$G16</f>
        <v/>
      </c>
      <c r="E26" s="30">
        <f>'Student Report'!$I16</f>
        <v/>
      </c>
      <c r="F26" s="57">
        <f>'Student Report'!$AJ16</f>
        <v/>
      </c>
      <c r="G26" s="30">
        <f>'Student Report'!$AK16</f>
        <v/>
      </c>
      <c r="H26" s="30">
        <f>IF($B26="","",COUNTIF(I26:O26,"Not Yet"))</f>
        <v/>
      </c>
      <c r="I26" s="30">
        <f>IFERROR(IF('Student Report'!$V16&lt;&gt;"",IF('Student Report'!$V16&gt;=Settings!$B$11,"Mastered",IF('Student Report'!$V16&gt;=Settings!$B$12,"Approaching","Not Yet")),IF('Student Report'!$O16&lt;&gt;"",IF('Student Report'!$O16&gt;=Settings!$B$11,"Mastered",IF('Student Report'!$O16&gt;=Settings!$B$12,"Approaching","Not Yet")),"")),"")</f>
        <v/>
      </c>
      <c r="J26" s="30">
        <f>IFERROR(IF('Student Report'!$W16&lt;&gt;"",IF('Student Report'!$W16&gt;=Settings!$B$11,"Mastered",IF('Student Report'!$W16&gt;=Settings!$B$12,"Approaching","Not Yet")),IF('Student Report'!$P16&lt;&gt;"",IF('Student Report'!$P16&gt;=Settings!$B$11,"Mastered",IF('Student Report'!$P16&gt;=Settings!$B$12,"Approaching","Not Yet")),"")),"")</f>
        <v/>
      </c>
      <c r="K26" s="30">
        <f>IFERROR(IF('Student Report'!$X16&lt;&gt;"",IF('Student Report'!$X16&gt;=Settings!$B$11,"Mastered",IF('Student Report'!$X16&gt;=Settings!$B$12,"Approaching","Not Yet")),IF('Student Report'!$Q16&lt;&gt;"",IF('Student Report'!$Q16&gt;=Settings!$B$11,"Mastered",IF('Student Report'!$Q16&gt;=Settings!$B$12,"Approaching","Not Yet")),"")),"")</f>
        <v/>
      </c>
      <c r="L26" s="30">
        <f>IFERROR(IF('Student Report'!$Y16&lt;&gt;"",IF('Student Report'!$Y16&gt;=Settings!$B$11,"Mastered",IF('Student Report'!$Y16&gt;=Settings!$B$12,"Approaching","Not Yet")),IF('Student Report'!$R16&lt;&gt;"",IF('Student Report'!$R16&gt;=Settings!$B$11,"Mastered",IF('Student Report'!$R16&gt;=Settings!$B$12,"Approaching","Not Yet")),"")),"")</f>
        <v/>
      </c>
      <c r="M26" s="30">
        <f>IFERROR(IF('Student Report'!$Z16&lt;&gt;"",IF('Student Report'!$Z16&gt;=Settings!$B$11,"Mastered",IF('Student Report'!$Z16&gt;=Settings!$B$12,"Approaching","Not Yet")),IF('Student Report'!$S16&lt;&gt;"",IF('Student Report'!$S16&gt;=Settings!$B$11,"Mastered",IF('Student Report'!$S16&gt;=Settings!$B$12,"Approaching","Not Yet")),"")),"")</f>
        <v/>
      </c>
      <c r="N26" s="30">
        <f>IFERROR(IF('Student Report'!$AA16&lt;&gt;"",IF('Student Report'!$AA16&gt;=Settings!$B$11,"Mastered",IF('Student Report'!$AA16&gt;=Settings!$B$12,"Approaching","Not Yet")),IF('Student Report'!$T16&lt;&gt;"",IF('Student Report'!$T16&gt;=Settings!$B$11,"Mastered",IF('Student Report'!$T16&gt;=Settings!$B$12,"Approaching","Not Yet")),"")),"")</f>
        <v/>
      </c>
      <c r="O26" s="30">
        <f>IFERROR(IF('Student Report'!$AB16&lt;&gt;"",IF('Student Report'!$AB16&gt;=Settings!$B$11,"Mastered",IF('Student Report'!$AB16&gt;=Settings!$B$12,"Approaching","Not Yet")),IF('Student Report'!$U16&lt;&gt;"",IF('Student Report'!$U16&gt;=Settings!$B$11,"Mastered",IF('Student Report'!$U16&gt;=Settings!$B$12,"Approaching","Not Yet")),"")),"")</f>
        <v/>
      </c>
    </row>
    <row r="27">
      <c r="A27" s="30">
        <f>'Student Report'!$A17</f>
        <v/>
      </c>
      <c r="B27" s="56">
        <f>'Student Report'!$B17</f>
        <v/>
      </c>
      <c r="C27" s="30">
        <f>'Student Report'!$C17</f>
        <v/>
      </c>
      <c r="D27" s="30">
        <f>'Student Report'!$G17</f>
        <v/>
      </c>
      <c r="E27" s="30">
        <f>'Student Report'!$I17</f>
        <v/>
      </c>
      <c r="F27" s="57">
        <f>'Student Report'!$AJ17</f>
        <v/>
      </c>
      <c r="G27" s="30">
        <f>'Student Report'!$AK17</f>
        <v/>
      </c>
      <c r="H27" s="30">
        <f>IF($B27="","",COUNTIF(I27:O27,"Not Yet"))</f>
        <v/>
      </c>
      <c r="I27" s="30">
        <f>IFERROR(IF('Student Report'!$V17&lt;&gt;"",IF('Student Report'!$V17&gt;=Settings!$B$11,"Mastered",IF('Student Report'!$V17&gt;=Settings!$B$12,"Approaching","Not Yet")),IF('Student Report'!$O17&lt;&gt;"",IF('Student Report'!$O17&gt;=Settings!$B$11,"Mastered",IF('Student Report'!$O17&gt;=Settings!$B$12,"Approaching","Not Yet")),"")),"")</f>
        <v/>
      </c>
      <c r="J27" s="30">
        <f>IFERROR(IF('Student Report'!$W17&lt;&gt;"",IF('Student Report'!$W17&gt;=Settings!$B$11,"Mastered",IF('Student Report'!$W17&gt;=Settings!$B$12,"Approaching","Not Yet")),IF('Student Report'!$P17&lt;&gt;"",IF('Student Report'!$P17&gt;=Settings!$B$11,"Mastered",IF('Student Report'!$P17&gt;=Settings!$B$12,"Approaching","Not Yet")),"")),"")</f>
        <v/>
      </c>
      <c r="K27" s="30">
        <f>IFERROR(IF('Student Report'!$X17&lt;&gt;"",IF('Student Report'!$X17&gt;=Settings!$B$11,"Mastered",IF('Student Report'!$X17&gt;=Settings!$B$12,"Approaching","Not Yet")),IF('Student Report'!$Q17&lt;&gt;"",IF('Student Report'!$Q17&gt;=Settings!$B$11,"Mastered",IF('Student Report'!$Q17&gt;=Settings!$B$12,"Approaching","Not Yet")),"")),"")</f>
        <v/>
      </c>
      <c r="L27" s="30">
        <f>IFERROR(IF('Student Report'!$Y17&lt;&gt;"",IF('Student Report'!$Y17&gt;=Settings!$B$11,"Mastered",IF('Student Report'!$Y17&gt;=Settings!$B$12,"Approaching","Not Yet")),IF('Student Report'!$R17&lt;&gt;"",IF('Student Report'!$R17&gt;=Settings!$B$11,"Mastered",IF('Student Report'!$R17&gt;=Settings!$B$12,"Approaching","Not Yet")),"")),"")</f>
        <v/>
      </c>
      <c r="M27" s="30">
        <f>IFERROR(IF('Student Report'!$Z17&lt;&gt;"",IF('Student Report'!$Z17&gt;=Settings!$B$11,"Mastered",IF('Student Report'!$Z17&gt;=Settings!$B$12,"Approaching","Not Yet")),IF('Student Report'!$S17&lt;&gt;"",IF('Student Report'!$S17&gt;=Settings!$B$11,"Mastered",IF('Student Report'!$S17&gt;=Settings!$B$12,"Approaching","Not Yet")),"")),"")</f>
        <v/>
      </c>
      <c r="N27" s="30">
        <f>IFERROR(IF('Student Report'!$AA17&lt;&gt;"",IF('Student Report'!$AA17&gt;=Settings!$B$11,"Mastered",IF('Student Report'!$AA17&gt;=Settings!$B$12,"Approaching","Not Yet")),IF('Student Report'!$T17&lt;&gt;"",IF('Student Report'!$T17&gt;=Settings!$B$11,"Mastered",IF('Student Report'!$T17&gt;=Settings!$B$12,"Approaching","Not Yet")),"")),"")</f>
        <v/>
      </c>
      <c r="O27" s="30">
        <f>IFERROR(IF('Student Report'!$AB17&lt;&gt;"",IF('Student Report'!$AB17&gt;=Settings!$B$11,"Mastered",IF('Student Report'!$AB17&gt;=Settings!$B$12,"Approaching","Not Yet")),IF('Student Report'!$U17&lt;&gt;"",IF('Student Report'!$U17&gt;=Settings!$B$11,"Mastered",IF('Student Report'!$U17&gt;=Settings!$B$12,"Approaching","Not Yet")),"")),"")</f>
        <v/>
      </c>
    </row>
    <row r="28">
      <c r="A28" s="30">
        <f>'Student Report'!$A18</f>
        <v/>
      </c>
      <c r="B28" s="56">
        <f>'Student Report'!$B18</f>
        <v/>
      </c>
      <c r="C28" s="30">
        <f>'Student Report'!$C18</f>
        <v/>
      </c>
      <c r="D28" s="30">
        <f>'Student Report'!$G18</f>
        <v/>
      </c>
      <c r="E28" s="30">
        <f>'Student Report'!$I18</f>
        <v/>
      </c>
      <c r="F28" s="57">
        <f>'Student Report'!$AJ18</f>
        <v/>
      </c>
      <c r="G28" s="30">
        <f>'Student Report'!$AK18</f>
        <v/>
      </c>
      <c r="H28" s="30">
        <f>IF($B28="","",COUNTIF(I28:O28,"Not Yet"))</f>
        <v/>
      </c>
      <c r="I28" s="30">
        <f>IFERROR(IF('Student Report'!$V18&lt;&gt;"",IF('Student Report'!$V18&gt;=Settings!$B$11,"Mastered",IF('Student Report'!$V18&gt;=Settings!$B$12,"Approaching","Not Yet")),IF('Student Report'!$O18&lt;&gt;"",IF('Student Report'!$O18&gt;=Settings!$B$11,"Mastered",IF('Student Report'!$O18&gt;=Settings!$B$12,"Approaching","Not Yet")),"")),"")</f>
        <v/>
      </c>
      <c r="J28" s="30">
        <f>IFERROR(IF('Student Report'!$W18&lt;&gt;"",IF('Student Report'!$W18&gt;=Settings!$B$11,"Mastered",IF('Student Report'!$W18&gt;=Settings!$B$12,"Approaching","Not Yet")),IF('Student Report'!$P18&lt;&gt;"",IF('Student Report'!$P18&gt;=Settings!$B$11,"Mastered",IF('Student Report'!$P18&gt;=Settings!$B$12,"Approaching","Not Yet")),"")),"")</f>
        <v/>
      </c>
      <c r="K28" s="30">
        <f>IFERROR(IF('Student Report'!$X18&lt;&gt;"",IF('Student Report'!$X18&gt;=Settings!$B$11,"Mastered",IF('Student Report'!$X18&gt;=Settings!$B$12,"Approaching","Not Yet")),IF('Student Report'!$Q18&lt;&gt;"",IF('Student Report'!$Q18&gt;=Settings!$B$11,"Mastered",IF('Student Report'!$Q18&gt;=Settings!$B$12,"Approaching","Not Yet")),"")),"")</f>
        <v/>
      </c>
      <c r="L28" s="30">
        <f>IFERROR(IF('Student Report'!$Y18&lt;&gt;"",IF('Student Report'!$Y18&gt;=Settings!$B$11,"Mastered",IF('Student Report'!$Y18&gt;=Settings!$B$12,"Approaching","Not Yet")),IF('Student Report'!$R18&lt;&gt;"",IF('Student Report'!$R18&gt;=Settings!$B$11,"Mastered",IF('Student Report'!$R18&gt;=Settings!$B$12,"Approaching","Not Yet")),"")),"")</f>
        <v/>
      </c>
      <c r="M28" s="30">
        <f>IFERROR(IF('Student Report'!$Z18&lt;&gt;"",IF('Student Report'!$Z18&gt;=Settings!$B$11,"Mastered",IF('Student Report'!$Z18&gt;=Settings!$B$12,"Approaching","Not Yet")),IF('Student Report'!$S18&lt;&gt;"",IF('Student Report'!$S18&gt;=Settings!$B$11,"Mastered",IF('Student Report'!$S18&gt;=Settings!$B$12,"Approaching","Not Yet")),"")),"")</f>
        <v/>
      </c>
      <c r="N28" s="30">
        <f>IFERROR(IF('Student Report'!$AA18&lt;&gt;"",IF('Student Report'!$AA18&gt;=Settings!$B$11,"Mastered",IF('Student Report'!$AA18&gt;=Settings!$B$12,"Approaching","Not Yet")),IF('Student Report'!$T18&lt;&gt;"",IF('Student Report'!$T18&gt;=Settings!$B$11,"Mastered",IF('Student Report'!$T18&gt;=Settings!$B$12,"Approaching","Not Yet")),"")),"")</f>
        <v/>
      </c>
      <c r="O28" s="30">
        <f>IFERROR(IF('Student Report'!$AB18&lt;&gt;"",IF('Student Report'!$AB18&gt;=Settings!$B$11,"Mastered",IF('Student Report'!$AB18&gt;=Settings!$B$12,"Approaching","Not Yet")),IF('Student Report'!$U18&lt;&gt;"",IF('Student Report'!$U18&gt;=Settings!$B$11,"Mastered",IF('Student Report'!$U18&gt;=Settings!$B$12,"Approaching","Not Yet")),"")),"")</f>
        <v/>
      </c>
    </row>
    <row r="29">
      <c r="A29" s="30">
        <f>'Student Report'!$A19</f>
        <v/>
      </c>
      <c r="B29" s="56">
        <f>'Student Report'!$B19</f>
        <v/>
      </c>
      <c r="C29" s="30">
        <f>'Student Report'!$C19</f>
        <v/>
      </c>
      <c r="D29" s="30">
        <f>'Student Report'!$G19</f>
        <v/>
      </c>
      <c r="E29" s="30">
        <f>'Student Report'!$I19</f>
        <v/>
      </c>
      <c r="F29" s="57">
        <f>'Student Report'!$AJ19</f>
        <v/>
      </c>
      <c r="G29" s="30">
        <f>'Student Report'!$AK19</f>
        <v/>
      </c>
      <c r="H29" s="30">
        <f>IF($B29="","",COUNTIF(I29:O29,"Not Yet"))</f>
        <v/>
      </c>
      <c r="I29" s="30">
        <f>IFERROR(IF('Student Report'!$V19&lt;&gt;"",IF('Student Report'!$V19&gt;=Settings!$B$11,"Mastered",IF('Student Report'!$V19&gt;=Settings!$B$12,"Approaching","Not Yet")),IF('Student Report'!$O19&lt;&gt;"",IF('Student Report'!$O19&gt;=Settings!$B$11,"Mastered",IF('Student Report'!$O19&gt;=Settings!$B$12,"Approaching","Not Yet")),"")),"")</f>
        <v/>
      </c>
      <c r="J29" s="30">
        <f>IFERROR(IF('Student Report'!$W19&lt;&gt;"",IF('Student Report'!$W19&gt;=Settings!$B$11,"Mastered",IF('Student Report'!$W19&gt;=Settings!$B$12,"Approaching","Not Yet")),IF('Student Report'!$P19&lt;&gt;"",IF('Student Report'!$P19&gt;=Settings!$B$11,"Mastered",IF('Student Report'!$P19&gt;=Settings!$B$12,"Approaching","Not Yet")),"")),"")</f>
        <v/>
      </c>
      <c r="K29" s="30">
        <f>IFERROR(IF('Student Report'!$X19&lt;&gt;"",IF('Student Report'!$X19&gt;=Settings!$B$11,"Mastered",IF('Student Report'!$X19&gt;=Settings!$B$12,"Approaching","Not Yet")),IF('Student Report'!$Q19&lt;&gt;"",IF('Student Report'!$Q19&gt;=Settings!$B$11,"Mastered",IF('Student Report'!$Q19&gt;=Settings!$B$12,"Approaching","Not Yet")),"")),"")</f>
        <v/>
      </c>
      <c r="L29" s="30">
        <f>IFERROR(IF('Student Report'!$Y19&lt;&gt;"",IF('Student Report'!$Y19&gt;=Settings!$B$11,"Mastered",IF('Student Report'!$Y19&gt;=Settings!$B$12,"Approaching","Not Yet")),IF('Student Report'!$R19&lt;&gt;"",IF('Student Report'!$R19&gt;=Settings!$B$11,"Mastered",IF('Student Report'!$R19&gt;=Settings!$B$12,"Approaching","Not Yet")),"")),"")</f>
        <v/>
      </c>
      <c r="M29" s="30">
        <f>IFERROR(IF('Student Report'!$Z19&lt;&gt;"",IF('Student Report'!$Z19&gt;=Settings!$B$11,"Mastered",IF('Student Report'!$Z19&gt;=Settings!$B$12,"Approaching","Not Yet")),IF('Student Report'!$S19&lt;&gt;"",IF('Student Report'!$S19&gt;=Settings!$B$11,"Mastered",IF('Student Report'!$S19&gt;=Settings!$B$12,"Approaching","Not Yet")),"")),"")</f>
        <v/>
      </c>
      <c r="N29" s="30">
        <f>IFERROR(IF('Student Report'!$AA19&lt;&gt;"",IF('Student Report'!$AA19&gt;=Settings!$B$11,"Mastered",IF('Student Report'!$AA19&gt;=Settings!$B$12,"Approaching","Not Yet")),IF('Student Report'!$T19&lt;&gt;"",IF('Student Report'!$T19&gt;=Settings!$B$11,"Mastered",IF('Student Report'!$T19&gt;=Settings!$B$12,"Approaching","Not Yet")),"")),"")</f>
        <v/>
      </c>
      <c r="O29" s="30">
        <f>IFERROR(IF('Student Report'!$AB19&lt;&gt;"",IF('Student Report'!$AB19&gt;=Settings!$B$11,"Mastered",IF('Student Report'!$AB19&gt;=Settings!$B$12,"Approaching","Not Yet")),IF('Student Report'!$U19&lt;&gt;"",IF('Student Report'!$U19&gt;=Settings!$B$11,"Mastered",IF('Student Report'!$U19&gt;=Settings!$B$12,"Approaching","Not Yet")),"")),"")</f>
        <v/>
      </c>
    </row>
    <row r="30">
      <c r="A30" s="30">
        <f>'Student Report'!$A20</f>
        <v/>
      </c>
      <c r="B30" s="56">
        <f>'Student Report'!$B20</f>
        <v/>
      </c>
      <c r="C30" s="30">
        <f>'Student Report'!$C20</f>
        <v/>
      </c>
      <c r="D30" s="30">
        <f>'Student Report'!$G20</f>
        <v/>
      </c>
      <c r="E30" s="30">
        <f>'Student Report'!$I20</f>
        <v/>
      </c>
      <c r="F30" s="57">
        <f>'Student Report'!$AJ20</f>
        <v/>
      </c>
      <c r="G30" s="30">
        <f>'Student Report'!$AK20</f>
        <v/>
      </c>
      <c r="H30" s="30">
        <f>IF($B30="","",COUNTIF(I30:O30,"Not Yet"))</f>
        <v/>
      </c>
      <c r="I30" s="30">
        <f>IFERROR(IF('Student Report'!$V20&lt;&gt;"",IF('Student Report'!$V20&gt;=Settings!$B$11,"Mastered",IF('Student Report'!$V20&gt;=Settings!$B$12,"Approaching","Not Yet")),IF('Student Report'!$O20&lt;&gt;"",IF('Student Report'!$O20&gt;=Settings!$B$11,"Mastered",IF('Student Report'!$O20&gt;=Settings!$B$12,"Approaching","Not Yet")),"")),"")</f>
        <v/>
      </c>
      <c r="J30" s="30">
        <f>IFERROR(IF('Student Report'!$W20&lt;&gt;"",IF('Student Report'!$W20&gt;=Settings!$B$11,"Mastered",IF('Student Report'!$W20&gt;=Settings!$B$12,"Approaching","Not Yet")),IF('Student Report'!$P20&lt;&gt;"",IF('Student Report'!$P20&gt;=Settings!$B$11,"Mastered",IF('Student Report'!$P20&gt;=Settings!$B$12,"Approaching","Not Yet")),"")),"")</f>
        <v/>
      </c>
      <c r="K30" s="30">
        <f>IFERROR(IF('Student Report'!$X20&lt;&gt;"",IF('Student Report'!$X20&gt;=Settings!$B$11,"Mastered",IF('Student Report'!$X20&gt;=Settings!$B$12,"Approaching","Not Yet")),IF('Student Report'!$Q20&lt;&gt;"",IF('Student Report'!$Q20&gt;=Settings!$B$11,"Mastered",IF('Student Report'!$Q20&gt;=Settings!$B$12,"Approaching","Not Yet")),"")),"")</f>
        <v/>
      </c>
      <c r="L30" s="30">
        <f>IFERROR(IF('Student Report'!$Y20&lt;&gt;"",IF('Student Report'!$Y20&gt;=Settings!$B$11,"Mastered",IF('Student Report'!$Y20&gt;=Settings!$B$12,"Approaching","Not Yet")),IF('Student Report'!$R20&lt;&gt;"",IF('Student Report'!$R20&gt;=Settings!$B$11,"Mastered",IF('Student Report'!$R20&gt;=Settings!$B$12,"Approaching","Not Yet")),"")),"")</f>
        <v/>
      </c>
      <c r="M30" s="30">
        <f>IFERROR(IF('Student Report'!$Z20&lt;&gt;"",IF('Student Report'!$Z20&gt;=Settings!$B$11,"Mastered",IF('Student Report'!$Z20&gt;=Settings!$B$12,"Approaching","Not Yet")),IF('Student Report'!$S20&lt;&gt;"",IF('Student Report'!$S20&gt;=Settings!$B$11,"Mastered",IF('Student Report'!$S20&gt;=Settings!$B$12,"Approaching","Not Yet")),"")),"")</f>
        <v/>
      </c>
      <c r="N30" s="30">
        <f>IFERROR(IF('Student Report'!$AA20&lt;&gt;"",IF('Student Report'!$AA20&gt;=Settings!$B$11,"Mastered",IF('Student Report'!$AA20&gt;=Settings!$B$12,"Approaching","Not Yet")),IF('Student Report'!$T20&lt;&gt;"",IF('Student Report'!$T20&gt;=Settings!$B$11,"Mastered",IF('Student Report'!$T20&gt;=Settings!$B$12,"Approaching","Not Yet")),"")),"")</f>
        <v/>
      </c>
      <c r="O30" s="30">
        <f>IFERROR(IF('Student Report'!$AB20&lt;&gt;"",IF('Student Report'!$AB20&gt;=Settings!$B$11,"Mastered",IF('Student Report'!$AB20&gt;=Settings!$B$12,"Approaching","Not Yet")),IF('Student Report'!$U20&lt;&gt;"",IF('Student Report'!$U20&gt;=Settings!$B$11,"Mastered",IF('Student Report'!$U20&gt;=Settings!$B$12,"Approaching","Not Yet")),"")),"")</f>
        <v/>
      </c>
    </row>
    <row r="31">
      <c r="A31" s="30">
        <f>'Student Report'!$A21</f>
        <v/>
      </c>
      <c r="B31" s="56">
        <f>'Student Report'!$B21</f>
        <v/>
      </c>
      <c r="C31" s="30">
        <f>'Student Report'!$C21</f>
        <v/>
      </c>
      <c r="D31" s="30">
        <f>'Student Report'!$G21</f>
        <v/>
      </c>
      <c r="E31" s="30">
        <f>'Student Report'!$I21</f>
        <v/>
      </c>
      <c r="F31" s="57">
        <f>'Student Report'!$AJ21</f>
        <v/>
      </c>
      <c r="G31" s="30">
        <f>'Student Report'!$AK21</f>
        <v/>
      </c>
      <c r="H31" s="30">
        <f>IF($B31="","",COUNTIF(I31:O31,"Not Yet"))</f>
        <v/>
      </c>
      <c r="I31" s="30">
        <f>IFERROR(IF('Student Report'!$V21&lt;&gt;"",IF('Student Report'!$V21&gt;=Settings!$B$11,"Mastered",IF('Student Report'!$V21&gt;=Settings!$B$12,"Approaching","Not Yet")),IF('Student Report'!$O21&lt;&gt;"",IF('Student Report'!$O21&gt;=Settings!$B$11,"Mastered",IF('Student Report'!$O21&gt;=Settings!$B$12,"Approaching","Not Yet")),"")),"")</f>
        <v/>
      </c>
      <c r="J31" s="30">
        <f>IFERROR(IF('Student Report'!$W21&lt;&gt;"",IF('Student Report'!$W21&gt;=Settings!$B$11,"Mastered",IF('Student Report'!$W21&gt;=Settings!$B$12,"Approaching","Not Yet")),IF('Student Report'!$P21&lt;&gt;"",IF('Student Report'!$P21&gt;=Settings!$B$11,"Mastered",IF('Student Report'!$P21&gt;=Settings!$B$12,"Approaching","Not Yet")),"")),"")</f>
        <v/>
      </c>
      <c r="K31" s="30">
        <f>IFERROR(IF('Student Report'!$X21&lt;&gt;"",IF('Student Report'!$X21&gt;=Settings!$B$11,"Mastered",IF('Student Report'!$X21&gt;=Settings!$B$12,"Approaching","Not Yet")),IF('Student Report'!$Q21&lt;&gt;"",IF('Student Report'!$Q21&gt;=Settings!$B$11,"Mastered",IF('Student Report'!$Q21&gt;=Settings!$B$12,"Approaching","Not Yet")),"")),"")</f>
        <v/>
      </c>
      <c r="L31" s="30">
        <f>IFERROR(IF('Student Report'!$Y21&lt;&gt;"",IF('Student Report'!$Y21&gt;=Settings!$B$11,"Mastered",IF('Student Report'!$Y21&gt;=Settings!$B$12,"Approaching","Not Yet")),IF('Student Report'!$R21&lt;&gt;"",IF('Student Report'!$R21&gt;=Settings!$B$11,"Mastered",IF('Student Report'!$R21&gt;=Settings!$B$12,"Approaching","Not Yet")),"")),"")</f>
        <v/>
      </c>
      <c r="M31" s="30">
        <f>IFERROR(IF('Student Report'!$Z21&lt;&gt;"",IF('Student Report'!$Z21&gt;=Settings!$B$11,"Mastered",IF('Student Report'!$Z21&gt;=Settings!$B$12,"Approaching","Not Yet")),IF('Student Report'!$S21&lt;&gt;"",IF('Student Report'!$S21&gt;=Settings!$B$11,"Mastered",IF('Student Report'!$S21&gt;=Settings!$B$12,"Approaching","Not Yet")),"")),"")</f>
        <v/>
      </c>
      <c r="N31" s="30">
        <f>IFERROR(IF('Student Report'!$AA21&lt;&gt;"",IF('Student Report'!$AA21&gt;=Settings!$B$11,"Mastered",IF('Student Report'!$AA21&gt;=Settings!$B$12,"Approaching","Not Yet")),IF('Student Report'!$T21&lt;&gt;"",IF('Student Report'!$T21&gt;=Settings!$B$11,"Mastered",IF('Student Report'!$T21&gt;=Settings!$B$12,"Approaching","Not Yet")),"")),"")</f>
        <v/>
      </c>
      <c r="O31" s="30">
        <f>IFERROR(IF('Student Report'!$AB21&lt;&gt;"",IF('Student Report'!$AB21&gt;=Settings!$B$11,"Mastered",IF('Student Report'!$AB21&gt;=Settings!$B$12,"Approaching","Not Yet")),IF('Student Report'!$U21&lt;&gt;"",IF('Student Report'!$U21&gt;=Settings!$B$11,"Mastered",IF('Student Report'!$U21&gt;=Settings!$B$12,"Approaching","Not Yet")),"")),"")</f>
        <v/>
      </c>
    </row>
    <row r="32">
      <c r="A32" s="30">
        <f>'Student Report'!$A22</f>
        <v/>
      </c>
      <c r="B32" s="56">
        <f>'Student Report'!$B22</f>
        <v/>
      </c>
      <c r="C32" s="30">
        <f>'Student Report'!$C22</f>
        <v/>
      </c>
      <c r="D32" s="30">
        <f>'Student Report'!$G22</f>
        <v/>
      </c>
      <c r="E32" s="30">
        <f>'Student Report'!$I22</f>
        <v/>
      </c>
      <c r="F32" s="57">
        <f>'Student Report'!$AJ22</f>
        <v/>
      </c>
      <c r="G32" s="30">
        <f>'Student Report'!$AK22</f>
        <v/>
      </c>
      <c r="H32" s="30">
        <f>IF($B32="","",COUNTIF(I32:O32,"Not Yet"))</f>
        <v/>
      </c>
      <c r="I32" s="30">
        <f>IFERROR(IF('Student Report'!$V22&lt;&gt;"",IF('Student Report'!$V22&gt;=Settings!$B$11,"Mastered",IF('Student Report'!$V22&gt;=Settings!$B$12,"Approaching","Not Yet")),IF('Student Report'!$O22&lt;&gt;"",IF('Student Report'!$O22&gt;=Settings!$B$11,"Mastered",IF('Student Report'!$O22&gt;=Settings!$B$12,"Approaching","Not Yet")),"")),"")</f>
        <v/>
      </c>
      <c r="J32" s="30">
        <f>IFERROR(IF('Student Report'!$W22&lt;&gt;"",IF('Student Report'!$W22&gt;=Settings!$B$11,"Mastered",IF('Student Report'!$W22&gt;=Settings!$B$12,"Approaching","Not Yet")),IF('Student Report'!$P22&lt;&gt;"",IF('Student Report'!$P22&gt;=Settings!$B$11,"Mastered",IF('Student Report'!$P22&gt;=Settings!$B$12,"Approaching","Not Yet")),"")),"")</f>
        <v/>
      </c>
      <c r="K32" s="30">
        <f>IFERROR(IF('Student Report'!$X22&lt;&gt;"",IF('Student Report'!$X22&gt;=Settings!$B$11,"Mastered",IF('Student Report'!$X22&gt;=Settings!$B$12,"Approaching","Not Yet")),IF('Student Report'!$Q22&lt;&gt;"",IF('Student Report'!$Q22&gt;=Settings!$B$11,"Mastered",IF('Student Report'!$Q22&gt;=Settings!$B$12,"Approaching","Not Yet")),"")),"")</f>
        <v/>
      </c>
      <c r="L32" s="30">
        <f>IFERROR(IF('Student Report'!$Y22&lt;&gt;"",IF('Student Report'!$Y22&gt;=Settings!$B$11,"Mastered",IF('Student Report'!$Y22&gt;=Settings!$B$12,"Approaching","Not Yet")),IF('Student Report'!$R22&lt;&gt;"",IF('Student Report'!$R22&gt;=Settings!$B$11,"Mastered",IF('Student Report'!$R22&gt;=Settings!$B$12,"Approaching","Not Yet")),"")),"")</f>
        <v/>
      </c>
      <c r="M32" s="30">
        <f>IFERROR(IF('Student Report'!$Z22&lt;&gt;"",IF('Student Report'!$Z22&gt;=Settings!$B$11,"Mastered",IF('Student Report'!$Z22&gt;=Settings!$B$12,"Approaching","Not Yet")),IF('Student Report'!$S22&lt;&gt;"",IF('Student Report'!$S22&gt;=Settings!$B$11,"Mastered",IF('Student Report'!$S22&gt;=Settings!$B$12,"Approaching","Not Yet")),"")),"")</f>
        <v/>
      </c>
      <c r="N32" s="30">
        <f>IFERROR(IF('Student Report'!$AA22&lt;&gt;"",IF('Student Report'!$AA22&gt;=Settings!$B$11,"Mastered",IF('Student Report'!$AA22&gt;=Settings!$B$12,"Approaching","Not Yet")),IF('Student Report'!$T22&lt;&gt;"",IF('Student Report'!$T22&gt;=Settings!$B$11,"Mastered",IF('Student Report'!$T22&gt;=Settings!$B$12,"Approaching","Not Yet")),"")),"")</f>
        <v/>
      </c>
      <c r="O32" s="30">
        <f>IFERROR(IF('Student Report'!$AB22&lt;&gt;"",IF('Student Report'!$AB22&gt;=Settings!$B$11,"Mastered",IF('Student Report'!$AB22&gt;=Settings!$B$12,"Approaching","Not Yet")),IF('Student Report'!$U22&lt;&gt;"",IF('Student Report'!$U22&gt;=Settings!$B$11,"Mastered",IF('Student Report'!$U22&gt;=Settings!$B$12,"Approaching","Not Yet")),"")),"")</f>
        <v/>
      </c>
    </row>
    <row r="33">
      <c r="A33" s="30">
        <f>'Student Report'!$A23</f>
        <v/>
      </c>
      <c r="B33" s="56">
        <f>'Student Report'!$B23</f>
        <v/>
      </c>
      <c r="C33" s="30">
        <f>'Student Report'!$C23</f>
        <v/>
      </c>
      <c r="D33" s="30">
        <f>'Student Report'!$G23</f>
        <v/>
      </c>
      <c r="E33" s="30">
        <f>'Student Report'!$I23</f>
        <v/>
      </c>
      <c r="F33" s="57">
        <f>'Student Report'!$AJ23</f>
        <v/>
      </c>
      <c r="G33" s="30">
        <f>'Student Report'!$AK23</f>
        <v/>
      </c>
      <c r="H33" s="30">
        <f>IF($B33="","",COUNTIF(I33:O33,"Not Yet"))</f>
        <v/>
      </c>
      <c r="I33" s="30">
        <f>IFERROR(IF('Student Report'!$V23&lt;&gt;"",IF('Student Report'!$V23&gt;=Settings!$B$11,"Mastered",IF('Student Report'!$V23&gt;=Settings!$B$12,"Approaching","Not Yet")),IF('Student Report'!$O23&lt;&gt;"",IF('Student Report'!$O23&gt;=Settings!$B$11,"Mastered",IF('Student Report'!$O23&gt;=Settings!$B$12,"Approaching","Not Yet")),"")),"")</f>
        <v/>
      </c>
      <c r="J33" s="30">
        <f>IFERROR(IF('Student Report'!$W23&lt;&gt;"",IF('Student Report'!$W23&gt;=Settings!$B$11,"Mastered",IF('Student Report'!$W23&gt;=Settings!$B$12,"Approaching","Not Yet")),IF('Student Report'!$P23&lt;&gt;"",IF('Student Report'!$P23&gt;=Settings!$B$11,"Mastered",IF('Student Report'!$P23&gt;=Settings!$B$12,"Approaching","Not Yet")),"")),"")</f>
        <v/>
      </c>
      <c r="K33" s="30">
        <f>IFERROR(IF('Student Report'!$X23&lt;&gt;"",IF('Student Report'!$X23&gt;=Settings!$B$11,"Mastered",IF('Student Report'!$X23&gt;=Settings!$B$12,"Approaching","Not Yet")),IF('Student Report'!$Q23&lt;&gt;"",IF('Student Report'!$Q23&gt;=Settings!$B$11,"Mastered",IF('Student Report'!$Q23&gt;=Settings!$B$12,"Approaching","Not Yet")),"")),"")</f>
        <v/>
      </c>
      <c r="L33" s="30">
        <f>IFERROR(IF('Student Report'!$Y23&lt;&gt;"",IF('Student Report'!$Y23&gt;=Settings!$B$11,"Mastered",IF('Student Report'!$Y23&gt;=Settings!$B$12,"Approaching","Not Yet")),IF('Student Report'!$R23&lt;&gt;"",IF('Student Report'!$R23&gt;=Settings!$B$11,"Mastered",IF('Student Report'!$R23&gt;=Settings!$B$12,"Approaching","Not Yet")),"")),"")</f>
        <v/>
      </c>
      <c r="M33" s="30">
        <f>IFERROR(IF('Student Report'!$Z23&lt;&gt;"",IF('Student Report'!$Z23&gt;=Settings!$B$11,"Mastered",IF('Student Report'!$Z23&gt;=Settings!$B$12,"Approaching","Not Yet")),IF('Student Report'!$S23&lt;&gt;"",IF('Student Report'!$S23&gt;=Settings!$B$11,"Mastered",IF('Student Report'!$S23&gt;=Settings!$B$12,"Approaching","Not Yet")),"")),"")</f>
        <v/>
      </c>
      <c r="N33" s="30">
        <f>IFERROR(IF('Student Report'!$AA23&lt;&gt;"",IF('Student Report'!$AA23&gt;=Settings!$B$11,"Mastered",IF('Student Report'!$AA23&gt;=Settings!$B$12,"Approaching","Not Yet")),IF('Student Report'!$T23&lt;&gt;"",IF('Student Report'!$T23&gt;=Settings!$B$11,"Mastered",IF('Student Report'!$T23&gt;=Settings!$B$12,"Approaching","Not Yet")),"")),"")</f>
        <v/>
      </c>
      <c r="O33" s="30">
        <f>IFERROR(IF('Student Report'!$AB23&lt;&gt;"",IF('Student Report'!$AB23&gt;=Settings!$B$11,"Mastered",IF('Student Report'!$AB23&gt;=Settings!$B$12,"Approaching","Not Yet")),IF('Student Report'!$U23&lt;&gt;"",IF('Student Report'!$U23&gt;=Settings!$B$11,"Mastered",IF('Student Report'!$U23&gt;=Settings!$B$12,"Approaching","Not Yet")),"")),"")</f>
        <v/>
      </c>
    </row>
    <row r="34">
      <c r="A34" s="30">
        <f>'Student Report'!$A24</f>
        <v/>
      </c>
      <c r="B34" s="56">
        <f>'Student Report'!$B24</f>
        <v/>
      </c>
      <c r="C34" s="30">
        <f>'Student Report'!$C24</f>
        <v/>
      </c>
      <c r="D34" s="30">
        <f>'Student Report'!$G24</f>
        <v/>
      </c>
      <c r="E34" s="30">
        <f>'Student Report'!$I24</f>
        <v/>
      </c>
      <c r="F34" s="57">
        <f>'Student Report'!$AJ24</f>
        <v/>
      </c>
      <c r="G34" s="30">
        <f>'Student Report'!$AK24</f>
        <v/>
      </c>
      <c r="H34" s="30">
        <f>IF($B34="","",COUNTIF(I34:O34,"Not Yet"))</f>
        <v/>
      </c>
      <c r="I34" s="30">
        <f>IFERROR(IF('Student Report'!$V24&lt;&gt;"",IF('Student Report'!$V24&gt;=Settings!$B$11,"Mastered",IF('Student Report'!$V24&gt;=Settings!$B$12,"Approaching","Not Yet")),IF('Student Report'!$O24&lt;&gt;"",IF('Student Report'!$O24&gt;=Settings!$B$11,"Mastered",IF('Student Report'!$O24&gt;=Settings!$B$12,"Approaching","Not Yet")),"")),"")</f>
        <v/>
      </c>
      <c r="J34" s="30">
        <f>IFERROR(IF('Student Report'!$W24&lt;&gt;"",IF('Student Report'!$W24&gt;=Settings!$B$11,"Mastered",IF('Student Report'!$W24&gt;=Settings!$B$12,"Approaching","Not Yet")),IF('Student Report'!$P24&lt;&gt;"",IF('Student Report'!$P24&gt;=Settings!$B$11,"Mastered",IF('Student Report'!$P24&gt;=Settings!$B$12,"Approaching","Not Yet")),"")),"")</f>
        <v/>
      </c>
      <c r="K34" s="30">
        <f>IFERROR(IF('Student Report'!$X24&lt;&gt;"",IF('Student Report'!$X24&gt;=Settings!$B$11,"Mastered",IF('Student Report'!$X24&gt;=Settings!$B$12,"Approaching","Not Yet")),IF('Student Report'!$Q24&lt;&gt;"",IF('Student Report'!$Q24&gt;=Settings!$B$11,"Mastered",IF('Student Report'!$Q24&gt;=Settings!$B$12,"Approaching","Not Yet")),"")),"")</f>
        <v/>
      </c>
      <c r="L34" s="30">
        <f>IFERROR(IF('Student Report'!$Y24&lt;&gt;"",IF('Student Report'!$Y24&gt;=Settings!$B$11,"Mastered",IF('Student Report'!$Y24&gt;=Settings!$B$12,"Approaching","Not Yet")),IF('Student Report'!$R24&lt;&gt;"",IF('Student Report'!$R24&gt;=Settings!$B$11,"Mastered",IF('Student Report'!$R24&gt;=Settings!$B$12,"Approaching","Not Yet")),"")),"")</f>
        <v/>
      </c>
      <c r="M34" s="30">
        <f>IFERROR(IF('Student Report'!$Z24&lt;&gt;"",IF('Student Report'!$Z24&gt;=Settings!$B$11,"Mastered",IF('Student Report'!$Z24&gt;=Settings!$B$12,"Approaching","Not Yet")),IF('Student Report'!$S24&lt;&gt;"",IF('Student Report'!$S24&gt;=Settings!$B$11,"Mastered",IF('Student Report'!$S24&gt;=Settings!$B$12,"Approaching","Not Yet")),"")),"")</f>
        <v/>
      </c>
      <c r="N34" s="30">
        <f>IFERROR(IF('Student Report'!$AA24&lt;&gt;"",IF('Student Report'!$AA24&gt;=Settings!$B$11,"Mastered",IF('Student Report'!$AA24&gt;=Settings!$B$12,"Approaching","Not Yet")),IF('Student Report'!$T24&lt;&gt;"",IF('Student Report'!$T24&gt;=Settings!$B$11,"Mastered",IF('Student Report'!$T24&gt;=Settings!$B$12,"Approaching","Not Yet")),"")),"")</f>
        <v/>
      </c>
      <c r="O34" s="30">
        <f>IFERROR(IF('Student Report'!$AB24&lt;&gt;"",IF('Student Report'!$AB24&gt;=Settings!$B$11,"Mastered",IF('Student Report'!$AB24&gt;=Settings!$B$12,"Approaching","Not Yet")),IF('Student Report'!$U24&lt;&gt;"",IF('Student Report'!$U24&gt;=Settings!$B$11,"Mastered",IF('Student Report'!$U24&gt;=Settings!$B$12,"Approaching","Not Yet")),"")),"")</f>
        <v/>
      </c>
    </row>
    <row r="35">
      <c r="A35" s="30">
        <f>'Student Report'!$A25</f>
        <v/>
      </c>
      <c r="B35" s="56">
        <f>'Student Report'!$B25</f>
        <v/>
      </c>
      <c r="C35" s="30">
        <f>'Student Report'!$C25</f>
        <v/>
      </c>
      <c r="D35" s="30">
        <f>'Student Report'!$G25</f>
        <v/>
      </c>
      <c r="E35" s="30">
        <f>'Student Report'!$I25</f>
        <v/>
      </c>
      <c r="F35" s="57">
        <f>'Student Report'!$AJ25</f>
        <v/>
      </c>
      <c r="G35" s="30">
        <f>'Student Report'!$AK25</f>
        <v/>
      </c>
      <c r="H35" s="30">
        <f>IF($B35="","",COUNTIF(I35:O35,"Not Yet"))</f>
        <v/>
      </c>
      <c r="I35" s="30">
        <f>IFERROR(IF('Student Report'!$V25&lt;&gt;"",IF('Student Report'!$V25&gt;=Settings!$B$11,"Mastered",IF('Student Report'!$V25&gt;=Settings!$B$12,"Approaching","Not Yet")),IF('Student Report'!$O25&lt;&gt;"",IF('Student Report'!$O25&gt;=Settings!$B$11,"Mastered",IF('Student Report'!$O25&gt;=Settings!$B$12,"Approaching","Not Yet")),"")),"")</f>
        <v/>
      </c>
      <c r="J35" s="30">
        <f>IFERROR(IF('Student Report'!$W25&lt;&gt;"",IF('Student Report'!$W25&gt;=Settings!$B$11,"Mastered",IF('Student Report'!$W25&gt;=Settings!$B$12,"Approaching","Not Yet")),IF('Student Report'!$P25&lt;&gt;"",IF('Student Report'!$P25&gt;=Settings!$B$11,"Mastered",IF('Student Report'!$P25&gt;=Settings!$B$12,"Approaching","Not Yet")),"")),"")</f>
        <v/>
      </c>
      <c r="K35" s="30">
        <f>IFERROR(IF('Student Report'!$X25&lt;&gt;"",IF('Student Report'!$X25&gt;=Settings!$B$11,"Mastered",IF('Student Report'!$X25&gt;=Settings!$B$12,"Approaching","Not Yet")),IF('Student Report'!$Q25&lt;&gt;"",IF('Student Report'!$Q25&gt;=Settings!$B$11,"Mastered",IF('Student Report'!$Q25&gt;=Settings!$B$12,"Approaching","Not Yet")),"")),"")</f>
        <v/>
      </c>
      <c r="L35" s="30">
        <f>IFERROR(IF('Student Report'!$Y25&lt;&gt;"",IF('Student Report'!$Y25&gt;=Settings!$B$11,"Mastered",IF('Student Report'!$Y25&gt;=Settings!$B$12,"Approaching","Not Yet")),IF('Student Report'!$R25&lt;&gt;"",IF('Student Report'!$R25&gt;=Settings!$B$11,"Mastered",IF('Student Report'!$R25&gt;=Settings!$B$12,"Approaching","Not Yet")),"")),"")</f>
        <v/>
      </c>
      <c r="M35" s="30">
        <f>IFERROR(IF('Student Report'!$Z25&lt;&gt;"",IF('Student Report'!$Z25&gt;=Settings!$B$11,"Mastered",IF('Student Report'!$Z25&gt;=Settings!$B$12,"Approaching","Not Yet")),IF('Student Report'!$S25&lt;&gt;"",IF('Student Report'!$S25&gt;=Settings!$B$11,"Mastered",IF('Student Report'!$S25&gt;=Settings!$B$12,"Approaching","Not Yet")),"")),"")</f>
        <v/>
      </c>
      <c r="N35" s="30">
        <f>IFERROR(IF('Student Report'!$AA25&lt;&gt;"",IF('Student Report'!$AA25&gt;=Settings!$B$11,"Mastered",IF('Student Report'!$AA25&gt;=Settings!$B$12,"Approaching","Not Yet")),IF('Student Report'!$T25&lt;&gt;"",IF('Student Report'!$T25&gt;=Settings!$B$11,"Mastered",IF('Student Report'!$T25&gt;=Settings!$B$12,"Approaching","Not Yet")),"")),"")</f>
        <v/>
      </c>
      <c r="O35" s="30">
        <f>IFERROR(IF('Student Report'!$AB25&lt;&gt;"",IF('Student Report'!$AB25&gt;=Settings!$B$11,"Mastered",IF('Student Report'!$AB25&gt;=Settings!$B$12,"Approaching","Not Yet")),IF('Student Report'!$U25&lt;&gt;"",IF('Student Report'!$U25&gt;=Settings!$B$11,"Mastered",IF('Student Report'!$U25&gt;=Settings!$B$12,"Approaching","Not Yet")),"")),"")</f>
        <v/>
      </c>
    </row>
    <row r="36">
      <c r="A36" s="30">
        <f>'Student Report'!$A26</f>
        <v/>
      </c>
      <c r="B36" s="56">
        <f>'Student Report'!$B26</f>
        <v/>
      </c>
      <c r="C36" s="30">
        <f>'Student Report'!$C26</f>
        <v/>
      </c>
      <c r="D36" s="30">
        <f>'Student Report'!$G26</f>
        <v/>
      </c>
      <c r="E36" s="30">
        <f>'Student Report'!$I26</f>
        <v/>
      </c>
      <c r="F36" s="57">
        <f>'Student Report'!$AJ26</f>
        <v/>
      </c>
      <c r="G36" s="30">
        <f>'Student Report'!$AK26</f>
        <v/>
      </c>
      <c r="H36" s="30">
        <f>IF($B36="","",COUNTIF(I36:O36,"Not Yet"))</f>
        <v/>
      </c>
      <c r="I36" s="30">
        <f>IFERROR(IF('Student Report'!$V26&lt;&gt;"",IF('Student Report'!$V26&gt;=Settings!$B$11,"Mastered",IF('Student Report'!$V26&gt;=Settings!$B$12,"Approaching","Not Yet")),IF('Student Report'!$O26&lt;&gt;"",IF('Student Report'!$O26&gt;=Settings!$B$11,"Mastered",IF('Student Report'!$O26&gt;=Settings!$B$12,"Approaching","Not Yet")),"")),"")</f>
        <v/>
      </c>
      <c r="J36" s="30">
        <f>IFERROR(IF('Student Report'!$W26&lt;&gt;"",IF('Student Report'!$W26&gt;=Settings!$B$11,"Mastered",IF('Student Report'!$W26&gt;=Settings!$B$12,"Approaching","Not Yet")),IF('Student Report'!$P26&lt;&gt;"",IF('Student Report'!$P26&gt;=Settings!$B$11,"Mastered",IF('Student Report'!$P26&gt;=Settings!$B$12,"Approaching","Not Yet")),"")),"")</f>
        <v/>
      </c>
      <c r="K36" s="30">
        <f>IFERROR(IF('Student Report'!$X26&lt;&gt;"",IF('Student Report'!$X26&gt;=Settings!$B$11,"Mastered",IF('Student Report'!$X26&gt;=Settings!$B$12,"Approaching","Not Yet")),IF('Student Report'!$Q26&lt;&gt;"",IF('Student Report'!$Q26&gt;=Settings!$B$11,"Mastered",IF('Student Report'!$Q26&gt;=Settings!$B$12,"Approaching","Not Yet")),"")),"")</f>
        <v/>
      </c>
      <c r="L36" s="30">
        <f>IFERROR(IF('Student Report'!$Y26&lt;&gt;"",IF('Student Report'!$Y26&gt;=Settings!$B$11,"Mastered",IF('Student Report'!$Y26&gt;=Settings!$B$12,"Approaching","Not Yet")),IF('Student Report'!$R26&lt;&gt;"",IF('Student Report'!$R26&gt;=Settings!$B$11,"Mastered",IF('Student Report'!$R26&gt;=Settings!$B$12,"Approaching","Not Yet")),"")),"")</f>
        <v/>
      </c>
      <c r="M36" s="30">
        <f>IFERROR(IF('Student Report'!$Z26&lt;&gt;"",IF('Student Report'!$Z26&gt;=Settings!$B$11,"Mastered",IF('Student Report'!$Z26&gt;=Settings!$B$12,"Approaching","Not Yet")),IF('Student Report'!$S26&lt;&gt;"",IF('Student Report'!$S26&gt;=Settings!$B$11,"Mastered",IF('Student Report'!$S26&gt;=Settings!$B$12,"Approaching","Not Yet")),"")),"")</f>
        <v/>
      </c>
      <c r="N36" s="30">
        <f>IFERROR(IF('Student Report'!$AA26&lt;&gt;"",IF('Student Report'!$AA26&gt;=Settings!$B$11,"Mastered",IF('Student Report'!$AA26&gt;=Settings!$B$12,"Approaching","Not Yet")),IF('Student Report'!$T26&lt;&gt;"",IF('Student Report'!$T26&gt;=Settings!$B$11,"Mastered",IF('Student Report'!$T26&gt;=Settings!$B$12,"Approaching","Not Yet")),"")),"")</f>
        <v/>
      </c>
      <c r="O36" s="30">
        <f>IFERROR(IF('Student Report'!$AB26&lt;&gt;"",IF('Student Report'!$AB26&gt;=Settings!$B$11,"Mastered",IF('Student Report'!$AB26&gt;=Settings!$B$12,"Approaching","Not Yet")),IF('Student Report'!$U26&lt;&gt;"",IF('Student Report'!$U26&gt;=Settings!$B$11,"Mastered",IF('Student Report'!$U26&gt;=Settings!$B$12,"Approaching","Not Yet")),"")),"")</f>
        <v/>
      </c>
    </row>
    <row r="37">
      <c r="A37" s="30">
        <f>'Student Report'!$A27</f>
        <v/>
      </c>
      <c r="B37" s="56">
        <f>'Student Report'!$B27</f>
        <v/>
      </c>
      <c r="C37" s="30">
        <f>'Student Report'!$C27</f>
        <v/>
      </c>
      <c r="D37" s="30">
        <f>'Student Report'!$G27</f>
        <v/>
      </c>
      <c r="E37" s="30">
        <f>'Student Report'!$I27</f>
        <v/>
      </c>
      <c r="F37" s="57">
        <f>'Student Report'!$AJ27</f>
        <v/>
      </c>
      <c r="G37" s="30">
        <f>'Student Report'!$AK27</f>
        <v/>
      </c>
      <c r="H37" s="30">
        <f>IF($B37="","",COUNTIF(I37:O37,"Not Yet"))</f>
        <v/>
      </c>
      <c r="I37" s="30">
        <f>IFERROR(IF('Student Report'!$V27&lt;&gt;"",IF('Student Report'!$V27&gt;=Settings!$B$11,"Mastered",IF('Student Report'!$V27&gt;=Settings!$B$12,"Approaching","Not Yet")),IF('Student Report'!$O27&lt;&gt;"",IF('Student Report'!$O27&gt;=Settings!$B$11,"Mastered",IF('Student Report'!$O27&gt;=Settings!$B$12,"Approaching","Not Yet")),"")),"")</f>
        <v/>
      </c>
      <c r="J37" s="30">
        <f>IFERROR(IF('Student Report'!$W27&lt;&gt;"",IF('Student Report'!$W27&gt;=Settings!$B$11,"Mastered",IF('Student Report'!$W27&gt;=Settings!$B$12,"Approaching","Not Yet")),IF('Student Report'!$P27&lt;&gt;"",IF('Student Report'!$P27&gt;=Settings!$B$11,"Mastered",IF('Student Report'!$P27&gt;=Settings!$B$12,"Approaching","Not Yet")),"")),"")</f>
        <v/>
      </c>
      <c r="K37" s="30">
        <f>IFERROR(IF('Student Report'!$X27&lt;&gt;"",IF('Student Report'!$X27&gt;=Settings!$B$11,"Mastered",IF('Student Report'!$X27&gt;=Settings!$B$12,"Approaching","Not Yet")),IF('Student Report'!$Q27&lt;&gt;"",IF('Student Report'!$Q27&gt;=Settings!$B$11,"Mastered",IF('Student Report'!$Q27&gt;=Settings!$B$12,"Approaching","Not Yet")),"")),"")</f>
        <v/>
      </c>
      <c r="L37" s="30">
        <f>IFERROR(IF('Student Report'!$Y27&lt;&gt;"",IF('Student Report'!$Y27&gt;=Settings!$B$11,"Mastered",IF('Student Report'!$Y27&gt;=Settings!$B$12,"Approaching","Not Yet")),IF('Student Report'!$R27&lt;&gt;"",IF('Student Report'!$R27&gt;=Settings!$B$11,"Mastered",IF('Student Report'!$R27&gt;=Settings!$B$12,"Approaching","Not Yet")),"")),"")</f>
        <v/>
      </c>
      <c r="M37" s="30">
        <f>IFERROR(IF('Student Report'!$Z27&lt;&gt;"",IF('Student Report'!$Z27&gt;=Settings!$B$11,"Mastered",IF('Student Report'!$Z27&gt;=Settings!$B$12,"Approaching","Not Yet")),IF('Student Report'!$S27&lt;&gt;"",IF('Student Report'!$S27&gt;=Settings!$B$11,"Mastered",IF('Student Report'!$S27&gt;=Settings!$B$12,"Approaching","Not Yet")),"")),"")</f>
        <v/>
      </c>
      <c r="N37" s="30">
        <f>IFERROR(IF('Student Report'!$AA27&lt;&gt;"",IF('Student Report'!$AA27&gt;=Settings!$B$11,"Mastered",IF('Student Report'!$AA27&gt;=Settings!$B$12,"Approaching","Not Yet")),IF('Student Report'!$T27&lt;&gt;"",IF('Student Report'!$T27&gt;=Settings!$B$11,"Mastered",IF('Student Report'!$T27&gt;=Settings!$B$12,"Approaching","Not Yet")),"")),"")</f>
        <v/>
      </c>
      <c r="O37" s="30">
        <f>IFERROR(IF('Student Report'!$AB27&lt;&gt;"",IF('Student Report'!$AB27&gt;=Settings!$B$11,"Mastered",IF('Student Report'!$AB27&gt;=Settings!$B$12,"Approaching","Not Yet")),IF('Student Report'!$U27&lt;&gt;"",IF('Student Report'!$U27&gt;=Settings!$B$11,"Mastered",IF('Student Report'!$U27&gt;=Settings!$B$12,"Approaching","Not Yet")),"")),"")</f>
        <v/>
      </c>
    </row>
    <row r="38">
      <c r="A38" s="30">
        <f>'Student Report'!$A28</f>
        <v/>
      </c>
      <c r="B38" s="56">
        <f>'Student Report'!$B28</f>
        <v/>
      </c>
      <c r="C38" s="30">
        <f>'Student Report'!$C28</f>
        <v/>
      </c>
      <c r="D38" s="30">
        <f>'Student Report'!$G28</f>
        <v/>
      </c>
      <c r="E38" s="30">
        <f>'Student Report'!$I28</f>
        <v/>
      </c>
      <c r="F38" s="57">
        <f>'Student Report'!$AJ28</f>
        <v/>
      </c>
      <c r="G38" s="30">
        <f>'Student Report'!$AK28</f>
        <v/>
      </c>
      <c r="H38" s="30">
        <f>IF($B38="","",COUNTIF(I38:O38,"Not Yet"))</f>
        <v/>
      </c>
      <c r="I38" s="30">
        <f>IFERROR(IF('Student Report'!$V28&lt;&gt;"",IF('Student Report'!$V28&gt;=Settings!$B$11,"Mastered",IF('Student Report'!$V28&gt;=Settings!$B$12,"Approaching","Not Yet")),IF('Student Report'!$O28&lt;&gt;"",IF('Student Report'!$O28&gt;=Settings!$B$11,"Mastered",IF('Student Report'!$O28&gt;=Settings!$B$12,"Approaching","Not Yet")),"")),"")</f>
        <v/>
      </c>
      <c r="J38" s="30">
        <f>IFERROR(IF('Student Report'!$W28&lt;&gt;"",IF('Student Report'!$W28&gt;=Settings!$B$11,"Mastered",IF('Student Report'!$W28&gt;=Settings!$B$12,"Approaching","Not Yet")),IF('Student Report'!$P28&lt;&gt;"",IF('Student Report'!$P28&gt;=Settings!$B$11,"Mastered",IF('Student Report'!$P28&gt;=Settings!$B$12,"Approaching","Not Yet")),"")),"")</f>
        <v/>
      </c>
      <c r="K38" s="30">
        <f>IFERROR(IF('Student Report'!$X28&lt;&gt;"",IF('Student Report'!$X28&gt;=Settings!$B$11,"Mastered",IF('Student Report'!$X28&gt;=Settings!$B$12,"Approaching","Not Yet")),IF('Student Report'!$Q28&lt;&gt;"",IF('Student Report'!$Q28&gt;=Settings!$B$11,"Mastered",IF('Student Report'!$Q28&gt;=Settings!$B$12,"Approaching","Not Yet")),"")),"")</f>
        <v/>
      </c>
      <c r="L38" s="30">
        <f>IFERROR(IF('Student Report'!$Y28&lt;&gt;"",IF('Student Report'!$Y28&gt;=Settings!$B$11,"Mastered",IF('Student Report'!$Y28&gt;=Settings!$B$12,"Approaching","Not Yet")),IF('Student Report'!$R28&lt;&gt;"",IF('Student Report'!$R28&gt;=Settings!$B$11,"Mastered",IF('Student Report'!$R28&gt;=Settings!$B$12,"Approaching","Not Yet")),"")),"")</f>
        <v/>
      </c>
      <c r="M38" s="30">
        <f>IFERROR(IF('Student Report'!$Z28&lt;&gt;"",IF('Student Report'!$Z28&gt;=Settings!$B$11,"Mastered",IF('Student Report'!$Z28&gt;=Settings!$B$12,"Approaching","Not Yet")),IF('Student Report'!$S28&lt;&gt;"",IF('Student Report'!$S28&gt;=Settings!$B$11,"Mastered",IF('Student Report'!$S28&gt;=Settings!$B$12,"Approaching","Not Yet")),"")),"")</f>
        <v/>
      </c>
      <c r="N38" s="30">
        <f>IFERROR(IF('Student Report'!$AA28&lt;&gt;"",IF('Student Report'!$AA28&gt;=Settings!$B$11,"Mastered",IF('Student Report'!$AA28&gt;=Settings!$B$12,"Approaching","Not Yet")),IF('Student Report'!$T28&lt;&gt;"",IF('Student Report'!$T28&gt;=Settings!$B$11,"Mastered",IF('Student Report'!$T28&gt;=Settings!$B$12,"Approaching","Not Yet")),"")),"")</f>
        <v/>
      </c>
      <c r="O38" s="30">
        <f>IFERROR(IF('Student Report'!$AB28&lt;&gt;"",IF('Student Report'!$AB28&gt;=Settings!$B$11,"Mastered",IF('Student Report'!$AB28&gt;=Settings!$B$12,"Approaching","Not Yet")),IF('Student Report'!$U28&lt;&gt;"",IF('Student Report'!$U28&gt;=Settings!$B$11,"Mastered",IF('Student Report'!$U28&gt;=Settings!$B$12,"Approaching","Not Yet")),"")),"")</f>
        <v/>
      </c>
    </row>
    <row r="39">
      <c r="A39" s="30">
        <f>'Student Report'!$A29</f>
        <v/>
      </c>
      <c r="B39" s="56">
        <f>'Student Report'!$B29</f>
        <v/>
      </c>
      <c r="C39" s="30">
        <f>'Student Report'!$C29</f>
        <v/>
      </c>
      <c r="D39" s="30">
        <f>'Student Report'!$G29</f>
        <v/>
      </c>
      <c r="E39" s="30">
        <f>'Student Report'!$I29</f>
        <v/>
      </c>
      <c r="F39" s="57">
        <f>'Student Report'!$AJ29</f>
        <v/>
      </c>
      <c r="G39" s="30">
        <f>'Student Report'!$AK29</f>
        <v/>
      </c>
      <c r="H39" s="30">
        <f>IF($B39="","",COUNTIF(I39:O39,"Not Yet"))</f>
        <v/>
      </c>
      <c r="I39" s="30">
        <f>IFERROR(IF('Student Report'!$V29&lt;&gt;"",IF('Student Report'!$V29&gt;=Settings!$B$11,"Mastered",IF('Student Report'!$V29&gt;=Settings!$B$12,"Approaching","Not Yet")),IF('Student Report'!$O29&lt;&gt;"",IF('Student Report'!$O29&gt;=Settings!$B$11,"Mastered",IF('Student Report'!$O29&gt;=Settings!$B$12,"Approaching","Not Yet")),"")),"")</f>
        <v/>
      </c>
      <c r="J39" s="30">
        <f>IFERROR(IF('Student Report'!$W29&lt;&gt;"",IF('Student Report'!$W29&gt;=Settings!$B$11,"Mastered",IF('Student Report'!$W29&gt;=Settings!$B$12,"Approaching","Not Yet")),IF('Student Report'!$P29&lt;&gt;"",IF('Student Report'!$P29&gt;=Settings!$B$11,"Mastered",IF('Student Report'!$P29&gt;=Settings!$B$12,"Approaching","Not Yet")),"")),"")</f>
        <v/>
      </c>
      <c r="K39" s="30">
        <f>IFERROR(IF('Student Report'!$X29&lt;&gt;"",IF('Student Report'!$X29&gt;=Settings!$B$11,"Mastered",IF('Student Report'!$X29&gt;=Settings!$B$12,"Approaching","Not Yet")),IF('Student Report'!$Q29&lt;&gt;"",IF('Student Report'!$Q29&gt;=Settings!$B$11,"Mastered",IF('Student Report'!$Q29&gt;=Settings!$B$12,"Approaching","Not Yet")),"")),"")</f>
        <v/>
      </c>
      <c r="L39" s="30">
        <f>IFERROR(IF('Student Report'!$Y29&lt;&gt;"",IF('Student Report'!$Y29&gt;=Settings!$B$11,"Mastered",IF('Student Report'!$Y29&gt;=Settings!$B$12,"Approaching","Not Yet")),IF('Student Report'!$R29&lt;&gt;"",IF('Student Report'!$R29&gt;=Settings!$B$11,"Mastered",IF('Student Report'!$R29&gt;=Settings!$B$12,"Approaching","Not Yet")),"")),"")</f>
        <v/>
      </c>
      <c r="M39" s="30">
        <f>IFERROR(IF('Student Report'!$Z29&lt;&gt;"",IF('Student Report'!$Z29&gt;=Settings!$B$11,"Mastered",IF('Student Report'!$Z29&gt;=Settings!$B$12,"Approaching","Not Yet")),IF('Student Report'!$S29&lt;&gt;"",IF('Student Report'!$S29&gt;=Settings!$B$11,"Mastered",IF('Student Report'!$S29&gt;=Settings!$B$12,"Approaching","Not Yet")),"")),"")</f>
        <v/>
      </c>
      <c r="N39" s="30">
        <f>IFERROR(IF('Student Report'!$AA29&lt;&gt;"",IF('Student Report'!$AA29&gt;=Settings!$B$11,"Mastered",IF('Student Report'!$AA29&gt;=Settings!$B$12,"Approaching","Not Yet")),IF('Student Report'!$T29&lt;&gt;"",IF('Student Report'!$T29&gt;=Settings!$B$11,"Mastered",IF('Student Report'!$T29&gt;=Settings!$B$12,"Approaching","Not Yet")),"")),"")</f>
        <v/>
      </c>
      <c r="O39" s="30">
        <f>IFERROR(IF('Student Report'!$AB29&lt;&gt;"",IF('Student Report'!$AB29&gt;=Settings!$B$11,"Mastered",IF('Student Report'!$AB29&gt;=Settings!$B$12,"Approaching","Not Yet")),IF('Student Report'!$U29&lt;&gt;"",IF('Student Report'!$U29&gt;=Settings!$B$11,"Mastered",IF('Student Report'!$U29&gt;=Settings!$B$12,"Approaching","Not Yet")),"")),"")</f>
        <v/>
      </c>
    </row>
    <row r="40">
      <c r="A40" s="30">
        <f>'Student Report'!$A30</f>
        <v/>
      </c>
      <c r="B40" s="56">
        <f>'Student Report'!$B30</f>
        <v/>
      </c>
      <c r="C40" s="30">
        <f>'Student Report'!$C30</f>
        <v/>
      </c>
      <c r="D40" s="30">
        <f>'Student Report'!$G30</f>
        <v/>
      </c>
      <c r="E40" s="30">
        <f>'Student Report'!$I30</f>
        <v/>
      </c>
      <c r="F40" s="57">
        <f>'Student Report'!$AJ30</f>
        <v/>
      </c>
      <c r="G40" s="30">
        <f>'Student Report'!$AK30</f>
        <v/>
      </c>
      <c r="H40" s="30">
        <f>IF($B40="","",COUNTIF(I40:O40,"Not Yet"))</f>
        <v/>
      </c>
      <c r="I40" s="30">
        <f>IFERROR(IF('Student Report'!$V30&lt;&gt;"",IF('Student Report'!$V30&gt;=Settings!$B$11,"Mastered",IF('Student Report'!$V30&gt;=Settings!$B$12,"Approaching","Not Yet")),IF('Student Report'!$O30&lt;&gt;"",IF('Student Report'!$O30&gt;=Settings!$B$11,"Mastered",IF('Student Report'!$O30&gt;=Settings!$B$12,"Approaching","Not Yet")),"")),"")</f>
        <v/>
      </c>
      <c r="J40" s="30">
        <f>IFERROR(IF('Student Report'!$W30&lt;&gt;"",IF('Student Report'!$W30&gt;=Settings!$B$11,"Mastered",IF('Student Report'!$W30&gt;=Settings!$B$12,"Approaching","Not Yet")),IF('Student Report'!$P30&lt;&gt;"",IF('Student Report'!$P30&gt;=Settings!$B$11,"Mastered",IF('Student Report'!$P30&gt;=Settings!$B$12,"Approaching","Not Yet")),"")),"")</f>
        <v/>
      </c>
      <c r="K40" s="30">
        <f>IFERROR(IF('Student Report'!$X30&lt;&gt;"",IF('Student Report'!$X30&gt;=Settings!$B$11,"Mastered",IF('Student Report'!$X30&gt;=Settings!$B$12,"Approaching","Not Yet")),IF('Student Report'!$Q30&lt;&gt;"",IF('Student Report'!$Q30&gt;=Settings!$B$11,"Mastered",IF('Student Report'!$Q30&gt;=Settings!$B$12,"Approaching","Not Yet")),"")),"")</f>
        <v/>
      </c>
      <c r="L40" s="30">
        <f>IFERROR(IF('Student Report'!$Y30&lt;&gt;"",IF('Student Report'!$Y30&gt;=Settings!$B$11,"Mastered",IF('Student Report'!$Y30&gt;=Settings!$B$12,"Approaching","Not Yet")),IF('Student Report'!$R30&lt;&gt;"",IF('Student Report'!$R30&gt;=Settings!$B$11,"Mastered",IF('Student Report'!$R30&gt;=Settings!$B$12,"Approaching","Not Yet")),"")),"")</f>
        <v/>
      </c>
      <c r="M40" s="30">
        <f>IFERROR(IF('Student Report'!$Z30&lt;&gt;"",IF('Student Report'!$Z30&gt;=Settings!$B$11,"Mastered",IF('Student Report'!$Z30&gt;=Settings!$B$12,"Approaching","Not Yet")),IF('Student Report'!$S30&lt;&gt;"",IF('Student Report'!$S30&gt;=Settings!$B$11,"Mastered",IF('Student Report'!$S30&gt;=Settings!$B$12,"Approaching","Not Yet")),"")),"")</f>
        <v/>
      </c>
      <c r="N40" s="30">
        <f>IFERROR(IF('Student Report'!$AA30&lt;&gt;"",IF('Student Report'!$AA30&gt;=Settings!$B$11,"Mastered",IF('Student Report'!$AA30&gt;=Settings!$B$12,"Approaching","Not Yet")),IF('Student Report'!$T30&lt;&gt;"",IF('Student Report'!$T30&gt;=Settings!$B$11,"Mastered",IF('Student Report'!$T30&gt;=Settings!$B$12,"Approaching","Not Yet")),"")),"")</f>
        <v/>
      </c>
      <c r="O40" s="30">
        <f>IFERROR(IF('Student Report'!$AB30&lt;&gt;"",IF('Student Report'!$AB30&gt;=Settings!$B$11,"Mastered",IF('Student Report'!$AB30&gt;=Settings!$B$12,"Approaching","Not Yet")),IF('Student Report'!$U30&lt;&gt;"",IF('Student Report'!$U30&gt;=Settings!$B$11,"Mastered",IF('Student Report'!$U30&gt;=Settings!$B$12,"Approaching","Not Yet")),"")),"")</f>
        <v/>
      </c>
    </row>
    <row r="41">
      <c r="A41" s="30">
        <f>'Student Report'!$A31</f>
        <v/>
      </c>
      <c r="B41" s="56">
        <f>'Student Report'!$B31</f>
        <v/>
      </c>
      <c r="C41" s="30">
        <f>'Student Report'!$C31</f>
        <v/>
      </c>
      <c r="D41" s="30">
        <f>'Student Report'!$G31</f>
        <v/>
      </c>
      <c r="E41" s="30">
        <f>'Student Report'!$I31</f>
        <v/>
      </c>
      <c r="F41" s="57">
        <f>'Student Report'!$AJ31</f>
        <v/>
      </c>
      <c r="G41" s="30">
        <f>'Student Report'!$AK31</f>
        <v/>
      </c>
      <c r="H41" s="30">
        <f>IF($B41="","",COUNTIF(I41:O41,"Not Yet"))</f>
        <v/>
      </c>
      <c r="I41" s="30">
        <f>IFERROR(IF('Student Report'!$V31&lt;&gt;"",IF('Student Report'!$V31&gt;=Settings!$B$11,"Mastered",IF('Student Report'!$V31&gt;=Settings!$B$12,"Approaching","Not Yet")),IF('Student Report'!$O31&lt;&gt;"",IF('Student Report'!$O31&gt;=Settings!$B$11,"Mastered",IF('Student Report'!$O31&gt;=Settings!$B$12,"Approaching","Not Yet")),"")),"")</f>
        <v/>
      </c>
      <c r="J41" s="30">
        <f>IFERROR(IF('Student Report'!$W31&lt;&gt;"",IF('Student Report'!$W31&gt;=Settings!$B$11,"Mastered",IF('Student Report'!$W31&gt;=Settings!$B$12,"Approaching","Not Yet")),IF('Student Report'!$P31&lt;&gt;"",IF('Student Report'!$P31&gt;=Settings!$B$11,"Mastered",IF('Student Report'!$P31&gt;=Settings!$B$12,"Approaching","Not Yet")),"")),"")</f>
        <v/>
      </c>
      <c r="K41" s="30">
        <f>IFERROR(IF('Student Report'!$X31&lt;&gt;"",IF('Student Report'!$X31&gt;=Settings!$B$11,"Mastered",IF('Student Report'!$X31&gt;=Settings!$B$12,"Approaching","Not Yet")),IF('Student Report'!$Q31&lt;&gt;"",IF('Student Report'!$Q31&gt;=Settings!$B$11,"Mastered",IF('Student Report'!$Q31&gt;=Settings!$B$12,"Approaching","Not Yet")),"")),"")</f>
        <v/>
      </c>
      <c r="L41" s="30">
        <f>IFERROR(IF('Student Report'!$Y31&lt;&gt;"",IF('Student Report'!$Y31&gt;=Settings!$B$11,"Mastered",IF('Student Report'!$Y31&gt;=Settings!$B$12,"Approaching","Not Yet")),IF('Student Report'!$R31&lt;&gt;"",IF('Student Report'!$R31&gt;=Settings!$B$11,"Mastered",IF('Student Report'!$R31&gt;=Settings!$B$12,"Approaching","Not Yet")),"")),"")</f>
        <v/>
      </c>
      <c r="M41" s="30">
        <f>IFERROR(IF('Student Report'!$Z31&lt;&gt;"",IF('Student Report'!$Z31&gt;=Settings!$B$11,"Mastered",IF('Student Report'!$Z31&gt;=Settings!$B$12,"Approaching","Not Yet")),IF('Student Report'!$S31&lt;&gt;"",IF('Student Report'!$S31&gt;=Settings!$B$11,"Mastered",IF('Student Report'!$S31&gt;=Settings!$B$12,"Approaching","Not Yet")),"")),"")</f>
        <v/>
      </c>
      <c r="N41" s="30">
        <f>IFERROR(IF('Student Report'!$AA31&lt;&gt;"",IF('Student Report'!$AA31&gt;=Settings!$B$11,"Mastered",IF('Student Report'!$AA31&gt;=Settings!$B$12,"Approaching","Not Yet")),IF('Student Report'!$T31&lt;&gt;"",IF('Student Report'!$T31&gt;=Settings!$B$11,"Mastered",IF('Student Report'!$T31&gt;=Settings!$B$12,"Approaching","Not Yet")),"")),"")</f>
        <v/>
      </c>
      <c r="O41" s="30">
        <f>IFERROR(IF('Student Report'!$AB31&lt;&gt;"",IF('Student Report'!$AB31&gt;=Settings!$B$11,"Mastered",IF('Student Report'!$AB31&gt;=Settings!$B$12,"Approaching","Not Yet")),IF('Student Report'!$U31&lt;&gt;"",IF('Student Report'!$U31&gt;=Settings!$B$11,"Mastered",IF('Student Report'!$U31&gt;=Settings!$B$12,"Approaching","Not Yet")),"")),"")</f>
        <v/>
      </c>
    </row>
    <row r="42">
      <c r="A42" s="30">
        <f>'Student Report'!$A32</f>
        <v/>
      </c>
      <c r="B42" s="56">
        <f>'Student Report'!$B32</f>
        <v/>
      </c>
      <c r="C42" s="30">
        <f>'Student Report'!$C32</f>
        <v/>
      </c>
      <c r="D42" s="30">
        <f>'Student Report'!$G32</f>
        <v/>
      </c>
      <c r="E42" s="30">
        <f>'Student Report'!$I32</f>
        <v/>
      </c>
      <c r="F42" s="57">
        <f>'Student Report'!$AJ32</f>
        <v/>
      </c>
      <c r="G42" s="30">
        <f>'Student Report'!$AK32</f>
        <v/>
      </c>
      <c r="H42" s="30">
        <f>IF($B42="","",COUNTIF(I42:O42,"Not Yet"))</f>
        <v/>
      </c>
      <c r="I42" s="30">
        <f>IFERROR(IF('Student Report'!$V32&lt;&gt;"",IF('Student Report'!$V32&gt;=Settings!$B$11,"Mastered",IF('Student Report'!$V32&gt;=Settings!$B$12,"Approaching","Not Yet")),IF('Student Report'!$O32&lt;&gt;"",IF('Student Report'!$O32&gt;=Settings!$B$11,"Mastered",IF('Student Report'!$O32&gt;=Settings!$B$12,"Approaching","Not Yet")),"")),"")</f>
        <v/>
      </c>
      <c r="J42" s="30">
        <f>IFERROR(IF('Student Report'!$W32&lt;&gt;"",IF('Student Report'!$W32&gt;=Settings!$B$11,"Mastered",IF('Student Report'!$W32&gt;=Settings!$B$12,"Approaching","Not Yet")),IF('Student Report'!$P32&lt;&gt;"",IF('Student Report'!$P32&gt;=Settings!$B$11,"Mastered",IF('Student Report'!$P32&gt;=Settings!$B$12,"Approaching","Not Yet")),"")),"")</f>
        <v/>
      </c>
      <c r="K42" s="30">
        <f>IFERROR(IF('Student Report'!$X32&lt;&gt;"",IF('Student Report'!$X32&gt;=Settings!$B$11,"Mastered",IF('Student Report'!$X32&gt;=Settings!$B$12,"Approaching","Not Yet")),IF('Student Report'!$Q32&lt;&gt;"",IF('Student Report'!$Q32&gt;=Settings!$B$11,"Mastered",IF('Student Report'!$Q32&gt;=Settings!$B$12,"Approaching","Not Yet")),"")),"")</f>
        <v/>
      </c>
      <c r="L42" s="30">
        <f>IFERROR(IF('Student Report'!$Y32&lt;&gt;"",IF('Student Report'!$Y32&gt;=Settings!$B$11,"Mastered",IF('Student Report'!$Y32&gt;=Settings!$B$12,"Approaching","Not Yet")),IF('Student Report'!$R32&lt;&gt;"",IF('Student Report'!$R32&gt;=Settings!$B$11,"Mastered",IF('Student Report'!$R32&gt;=Settings!$B$12,"Approaching","Not Yet")),"")),"")</f>
        <v/>
      </c>
      <c r="M42" s="30">
        <f>IFERROR(IF('Student Report'!$Z32&lt;&gt;"",IF('Student Report'!$Z32&gt;=Settings!$B$11,"Mastered",IF('Student Report'!$Z32&gt;=Settings!$B$12,"Approaching","Not Yet")),IF('Student Report'!$S32&lt;&gt;"",IF('Student Report'!$S32&gt;=Settings!$B$11,"Mastered",IF('Student Report'!$S32&gt;=Settings!$B$12,"Approaching","Not Yet")),"")),"")</f>
        <v/>
      </c>
      <c r="N42" s="30">
        <f>IFERROR(IF('Student Report'!$AA32&lt;&gt;"",IF('Student Report'!$AA32&gt;=Settings!$B$11,"Mastered",IF('Student Report'!$AA32&gt;=Settings!$B$12,"Approaching","Not Yet")),IF('Student Report'!$T32&lt;&gt;"",IF('Student Report'!$T32&gt;=Settings!$B$11,"Mastered",IF('Student Report'!$T32&gt;=Settings!$B$12,"Approaching","Not Yet")),"")),"")</f>
        <v/>
      </c>
      <c r="O42" s="30">
        <f>IFERROR(IF('Student Report'!$AB32&lt;&gt;"",IF('Student Report'!$AB32&gt;=Settings!$B$11,"Mastered",IF('Student Report'!$AB32&gt;=Settings!$B$12,"Approaching","Not Yet")),IF('Student Report'!$U32&lt;&gt;"",IF('Student Report'!$U32&gt;=Settings!$B$11,"Mastered",IF('Student Report'!$U32&gt;=Settings!$B$12,"Approaching","Not Yet")),"")),"")</f>
        <v/>
      </c>
    </row>
    <row r="43">
      <c r="A43" s="30">
        <f>'Student Report'!$A33</f>
        <v/>
      </c>
      <c r="B43" s="56">
        <f>'Student Report'!$B33</f>
        <v/>
      </c>
      <c r="C43" s="30">
        <f>'Student Report'!$C33</f>
        <v/>
      </c>
      <c r="D43" s="30">
        <f>'Student Report'!$G33</f>
        <v/>
      </c>
      <c r="E43" s="30">
        <f>'Student Report'!$I33</f>
        <v/>
      </c>
      <c r="F43" s="57">
        <f>'Student Report'!$AJ33</f>
        <v/>
      </c>
      <c r="G43" s="30">
        <f>'Student Report'!$AK33</f>
        <v/>
      </c>
      <c r="H43" s="30">
        <f>IF($B43="","",COUNTIF(I43:O43,"Not Yet"))</f>
        <v/>
      </c>
      <c r="I43" s="30">
        <f>IFERROR(IF('Student Report'!$V33&lt;&gt;"",IF('Student Report'!$V33&gt;=Settings!$B$11,"Mastered",IF('Student Report'!$V33&gt;=Settings!$B$12,"Approaching","Not Yet")),IF('Student Report'!$O33&lt;&gt;"",IF('Student Report'!$O33&gt;=Settings!$B$11,"Mastered",IF('Student Report'!$O33&gt;=Settings!$B$12,"Approaching","Not Yet")),"")),"")</f>
        <v/>
      </c>
      <c r="J43" s="30">
        <f>IFERROR(IF('Student Report'!$W33&lt;&gt;"",IF('Student Report'!$W33&gt;=Settings!$B$11,"Mastered",IF('Student Report'!$W33&gt;=Settings!$B$12,"Approaching","Not Yet")),IF('Student Report'!$P33&lt;&gt;"",IF('Student Report'!$P33&gt;=Settings!$B$11,"Mastered",IF('Student Report'!$P33&gt;=Settings!$B$12,"Approaching","Not Yet")),"")),"")</f>
        <v/>
      </c>
      <c r="K43" s="30">
        <f>IFERROR(IF('Student Report'!$X33&lt;&gt;"",IF('Student Report'!$X33&gt;=Settings!$B$11,"Mastered",IF('Student Report'!$X33&gt;=Settings!$B$12,"Approaching","Not Yet")),IF('Student Report'!$Q33&lt;&gt;"",IF('Student Report'!$Q33&gt;=Settings!$B$11,"Mastered",IF('Student Report'!$Q33&gt;=Settings!$B$12,"Approaching","Not Yet")),"")),"")</f>
        <v/>
      </c>
      <c r="L43" s="30">
        <f>IFERROR(IF('Student Report'!$Y33&lt;&gt;"",IF('Student Report'!$Y33&gt;=Settings!$B$11,"Mastered",IF('Student Report'!$Y33&gt;=Settings!$B$12,"Approaching","Not Yet")),IF('Student Report'!$R33&lt;&gt;"",IF('Student Report'!$R33&gt;=Settings!$B$11,"Mastered",IF('Student Report'!$R33&gt;=Settings!$B$12,"Approaching","Not Yet")),"")),"")</f>
        <v/>
      </c>
      <c r="M43" s="30">
        <f>IFERROR(IF('Student Report'!$Z33&lt;&gt;"",IF('Student Report'!$Z33&gt;=Settings!$B$11,"Mastered",IF('Student Report'!$Z33&gt;=Settings!$B$12,"Approaching","Not Yet")),IF('Student Report'!$S33&lt;&gt;"",IF('Student Report'!$S33&gt;=Settings!$B$11,"Mastered",IF('Student Report'!$S33&gt;=Settings!$B$12,"Approaching","Not Yet")),"")),"")</f>
        <v/>
      </c>
      <c r="N43" s="30">
        <f>IFERROR(IF('Student Report'!$AA33&lt;&gt;"",IF('Student Report'!$AA33&gt;=Settings!$B$11,"Mastered",IF('Student Report'!$AA33&gt;=Settings!$B$12,"Approaching","Not Yet")),IF('Student Report'!$T33&lt;&gt;"",IF('Student Report'!$T33&gt;=Settings!$B$11,"Mastered",IF('Student Report'!$T33&gt;=Settings!$B$12,"Approaching","Not Yet")),"")),"")</f>
        <v/>
      </c>
      <c r="O43" s="30">
        <f>IFERROR(IF('Student Report'!$AB33&lt;&gt;"",IF('Student Report'!$AB33&gt;=Settings!$B$11,"Mastered",IF('Student Report'!$AB33&gt;=Settings!$B$12,"Approaching","Not Yet")),IF('Student Report'!$U33&lt;&gt;"",IF('Student Report'!$U33&gt;=Settings!$B$11,"Mastered",IF('Student Report'!$U33&gt;=Settings!$B$12,"Approaching","Not Yet")),"")),"")</f>
        <v/>
      </c>
    </row>
    <row r="44">
      <c r="A44" s="30">
        <f>'Student Report'!$A34</f>
        <v/>
      </c>
      <c r="B44" s="56">
        <f>'Student Report'!$B34</f>
        <v/>
      </c>
      <c r="C44" s="30">
        <f>'Student Report'!$C34</f>
        <v/>
      </c>
      <c r="D44" s="30">
        <f>'Student Report'!$G34</f>
        <v/>
      </c>
      <c r="E44" s="30">
        <f>'Student Report'!$I34</f>
        <v/>
      </c>
      <c r="F44" s="57">
        <f>'Student Report'!$AJ34</f>
        <v/>
      </c>
      <c r="G44" s="30">
        <f>'Student Report'!$AK34</f>
        <v/>
      </c>
      <c r="H44" s="30">
        <f>IF($B44="","",COUNTIF(I44:O44,"Not Yet"))</f>
        <v/>
      </c>
      <c r="I44" s="30">
        <f>IFERROR(IF('Student Report'!$V34&lt;&gt;"",IF('Student Report'!$V34&gt;=Settings!$B$11,"Mastered",IF('Student Report'!$V34&gt;=Settings!$B$12,"Approaching","Not Yet")),IF('Student Report'!$O34&lt;&gt;"",IF('Student Report'!$O34&gt;=Settings!$B$11,"Mastered",IF('Student Report'!$O34&gt;=Settings!$B$12,"Approaching","Not Yet")),"")),"")</f>
        <v/>
      </c>
      <c r="J44" s="30">
        <f>IFERROR(IF('Student Report'!$W34&lt;&gt;"",IF('Student Report'!$W34&gt;=Settings!$B$11,"Mastered",IF('Student Report'!$W34&gt;=Settings!$B$12,"Approaching","Not Yet")),IF('Student Report'!$P34&lt;&gt;"",IF('Student Report'!$P34&gt;=Settings!$B$11,"Mastered",IF('Student Report'!$P34&gt;=Settings!$B$12,"Approaching","Not Yet")),"")),"")</f>
        <v/>
      </c>
      <c r="K44" s="30">
        <f>IFERROR(IF('Student Report'!$X34&lt;&gt;"",IF('Student Report'!$X34&gt;=Settings!$B$11,"Mastered",IF('Student Report'!$X34&gt;=Settings!$B$12,"Approaching","Not Yet")),IF('Student Report'!$Q34&lt;&gt;"",IF('Student Report'!$Q34&gt;=Settings!$B$11,"Mastered",IF('Student Report'!$Q34&gt;=Settings!$B$12,"Approaching","Not Yet")),"")),"")</f>
        <v/>
      </c>
      <c r="L44" s="30">
        <f>IFERROR(IF('Student Report'!$Y34&lt;&gt;"",IF('Student Report'!$Y34&gt;=Settings!$B$11,"Mastered",IF('Student Report'!$Y34&gt;=Settings!$B$12,"Approaching","Not Yet")),IF('Student Report'!$R34&lt;&gt;"",IF('Student Report'!$R34&gt;=Settings!$B$11,"Mastered",IF('Student Report'!$R34&gt;=Settings!$B$12,"Approaching","Not Yet")),"")),"")</f>
        <v/>
      </c>
      <c r="M44" s="30">
        <f>IFERROR(IF('Student Report'!$Z34&lt;&gt;"",IF('Student Report'!$Z34&gt;=Settings!$B$11,"Mastered",IF('Student Report'!$Z34&gt;=Settings!$B$12,"Approaching","Not Yet")),IF('Student Report'!$S34&lt;&gt;"",IF('Student Report'!$S34&gt;=Settings!$B$11,"Mastered",IF('Student Report'!$S34&gt;=Settings!$B$12,"Approaching","Not Yet")),"")),"")</f>
        <v/>
      </c>
      <c r="N44" s="30">
        <f>IFERROR(IF('Student Report'!$AA34&lt;&gt;"",IF('Student Report'!$AA34&gt;=Settings!$B$11,"Mastered",IF('Student Report'!$AA34&gt;=Settings!$B$12,"Approaching","Not Yet")),IF('Student Report'!$T34&lt;&gt;"",IF('Student Report'!$T34&gt;=Settings!$B$11,"Mastered",IF('Student Report'!$T34&gt;=Settings!$B$12,"Approaching","Not Yet")),"")),"")</f>
        <v/>
      </c>
      <c r="O44" s="30">
        <f>IFERROR(IF('Student Report'!$AB34&lt;&gt;"",IF('Student Report'!$AB34&gt;=Settings!$B$11,"Mastered",IF('Student Report'!$AB34&gt;=Settings!$B$12,"Approaching","Not Yet")),IF('Student Report'!$U34&lt;&gt;"",IF('Student Report'!$U34&gt;=Settings!$B$11,"Mastered",IF('Student Report'!$U34&gt;=Settings!$B$12,"Approaching","Not Yet")),"")),"")</f>
        <v/>
      </c>
    </row>
    <row r="45">
      <c r="A45" s="30">
        <f>'Student Report'!$A35</f>
        <v/>
      </c>
      <c r="B45" s="56">
        <f>'Student Report'!$B35</f>
        <v/>
      </c>
      <c r="C45" s="30">
        <f>'Student Report'!$C35</f>
        <v/>
      </c>
      <c r="D45" s="30">
        <f>'Student Report'!$G35</f>
        <v/>
      </c>
      <c r="E45" s="30">
        <f>'Student Report'!$I35</f>
        <v/>
      </c>
      <c r="F45" s="57">
        <f>'Student Report'!$AJ35</f>
        <v/>
      </c>
      <c r="G45" s="30">
        <f>'Student Report'!$AK35</f>
        <v/>
      </c>
      <c r="H45" s="30">
        <f>IF($B45="","",COUNTIF(I45:O45,"Not Yet"))</f>
        <v/>
      </c>
      <c r="I45" s="30">
        <f>IFERROR(IF('Student Report'!$V35&lt;&gt;"",IF('Student Report'!$V35&gt;=Settings!$B$11,"Mastered",IF('Student Report'!$V35&gt;=Settings!$B$12,"Approaching","Not Yet")),IF('Student Report'!$O35&lt;&gt;"",IF('Student Report'!$O35&gt;=Settings!$B$11,"Mastered",IF('Student Report'!$O35&gt;=Settings!$B$12,"Approaching","Not Yet")),"")),"")</f>
        <v/>
      </c>
      <c r="J45" s="30">
        <f>IFERROR(IF('Student Report'!$W35&lt;&gt;"",IF('Student Report'!$W35&gt;=Settings!$B$11,"Mastered",IF('Student Report'!$W35&gt;=Settings!$B$12,"Approaching","Not Yet")),IF('Student Report'!$P35&lt;&gt;"",IF('Student Report'!$P35&gt;=Settings!$B$11,"Mastered",IF('Student Report'!$P35&gt;=Settings!$B$12,"Approaching","Not Yet")),"")),"")</f>
        <v/>
      </c>
      <c r="K45" s="30">
        <f>IFERROR(IF('Student Report'!$X35&lt;&gt;"",IF('Student Report'!$X35&gt;=Settings!$B$11,"Mastered",IF('Student Report'!$X35&gt;=Settings!$B$12,"Approaching","Not Yet")),IF('Student Report'!$Q35&lt;&gt;"",IF('Student Report'!$Q35&gt;=Settings!$B$11,"Mastered",IF('Student Report'!$Q35&gt;=Settings!$B$12,"Approaching","Not Yet")),"")),"")</f>
        <v/>
      </c>
      <c r="L45" s="30">
        <f>IFERROR(IF('Student Report'!$Y35&lt;&gt;"",IF('Student Report'!$Y35&gt;=Settings!$B$11,"Mastered",IF('Student Report'!$Y35&gt;=Settings!$B$12,"Approaching","Not Yet")),IF('Student Report'!$R35&lt;&gt;"",IF('Student Report'!$R35&gt;=Settings!$B$11,"Mastered",IF('Student Report'!$R35&gt;=Settings!$B$12,"Approaching","Not Yet")),"")),"")</f>
        <v/>
      </c>
      <c r="M45" s="30">
        <f>IFERROR(IF('Student Report'!$Z35&lt;&gt;"",IF('Student Report'!$Z35&gt;=Settings!$B$11,"Mastered",IF('Student Report'!$Z35&gt;=Settings!$B$12,"Approaching","Not Yet")),IF('Student Report'!$S35&lt;&gt;"",IF('Student Report'!$S35&gt;=Settings!$B$11,"Mastered",IF('Student Report'!$S35&gt;=Settings!$B$12,"Approaching","Not Yet")),"")),"")</f>
        <v/>
      </c>
      <c r="N45" s="30">
        <f>IFERROR(IF('Student Report'!$AA35&lt;&gt;"",IF('Student Report'!$AA35&gt;=Settings!$B$11,"Mastered",IF('Student Report'!$AA35&gt;=Settings!$B$12,"Approaching","Not Yet")),IF('Student Report'!$T35&lt;&gt;"",IF('Student Report'!$T35&gt;=Settings!$B$11,"Mastered",IF('Student Report'!$T35&gt;=Settings!$B$12,"Approaching","Not Yet")),"")),"")</f>
        <v/>
      </c>
      <c r="O45" s="30">
        <f>IFERROR(IF('Student Report'!$AB35&lt;&gt;"",IF('Student Report'!$AB35&gt;=Settings!$B$11,"Mastered",IF('Student Report'!$AB35&gt;=Settings!$B$12,"Approaching","Not Yet")),IF('Student Report'!$U35&lt;&gt;"",IF('Student Report'!$U35&gt;=Settings!$B$11,"Mastered",IF('Student Report'!$U35&gt;=Settings!$B$12,"Approaching","Not Yet")),"")),"")</f>
        <v/>
      </c>
    </row>
    <row r="46">
      <c r="A46" s="30">
        <f>'Student Report'!$A36</f>
        <v/>
      </c>
      <c r="B46" s="56">
        <f>'Student Report'!$B36</f>
        <v/>
      </c>
      <c r="C46" s="30">
        <f>'Student Report'!$C36</f>
        <v/>
      </c>
      <c r="D46" s="30">
        <f>'Student Report'!$G36</f>
        <v/>
      </c>
      <c r="E46" s="30">
        <f>'Student Report'!$I36</f>
        <v/>
      </c>
      <c r="F46" s="57">
        <f>'Student Report'!$AJ36</f>
        <v/>
      </c>
      <c r="G46" s="30">
        <f>'Student Report'!$AK36</f>
        <v/>
      </c>
      <c r="H46" s="30">
        <f>IF($B46="","",COUNTIF(I46:O46,"Not Yet"))</f>
        <v/>
      </c>
      <c r="I46" s="30">
        <f>IFERROR(IF('Student Report'!$V36&lt;&gt;"",IF('Student Report'!$V36&gt;=Settings!$B$11,"Mastered",IF('Student Report'!$V36&gt;=Settings!$B$12,"Approaching","Not Yet")),IF('Student Report'!$O36&lt;&gt;"",IF('Student Report'!$O36&gt;=Settings!$B$11,"Mastered",IF('Student Report'!$O36&gt;=Settings!$B$12,"Approaching","Not Yet")),"")),"")</f>
        <v/>
      </c>
      <c r="J46" s="30">
        <f>IFERROR(IF('Student Report'!$W36&lt;&gt;"",IF('Student Report'!$W36&gt;=Settings!$B$11,"Mastered",IF('Student Report'!$W36&gt;=Settings!$B$12,"Approaching","Not Yet")),IF('Student Report'!$P36&lt;&gt;"",IF('Student Report'!$P36&gt;=Settings!$B$11,"Mastered",IF('Student Report'!$P36&gt;=Settings!$B$12,"Approaching","Not Yet")),"")),"")</f>
        <v/>
      </c>
      <c r="K46" s="30">
        <f>IFERROR(IF('Student Report'!$X36&lt;&gt;"",IF('Student Report'!$X36&gt;=Settings!$B$11,"Mastered",IF('Student Report'!$X36&gt;=Settings!$B$12,"Approaching","Not Yet")),IF('Student Report'!$Q36&lt;&gt;"",IF('Student Report'!$Q36&gt;=Settings!$B$11,"Mastered",IF('Student Report'!$Q36&gt;=Settings!$B$12,"Approaching","Not Yet")),"")),"")</f>
        <v/>
      </c>
      <c r="L46" s="30">
        <f>IFERROR(IF('Student Report'!$Y36&lt;&gt;"",IF('Student Report'!$Y36&gt;=Settings!$B$11,"Mastered",IF('Student Report'!$Y36&gt;=Settings!$B$12,"Approaching","Not Yet")),IF('Student Report'!$R36&lt;&gt;"",IF('Student Report'!$R36&gt;=Settings!$B$11,"Mastered",IF('Student Report'!$R36&gt;=Settings!$B$12,"Approaching","Not Yet")),"")),"")</f>
        <v/>
      </c>
      <c r="M46" s="30">
        <f>IFERROR(IF('Student Report'!$Z36&lt;&gt;"",IF('Student Report'!$Z36&gt;=Settings!$B$11,"Mastered",IF('Student Report'!$Z36&gt;=Settings!$B$12,"Approaching","Not Yet")),IF('Student Report'!$S36&lt;&gt;"",IF('Student Report'!$S36&gt;=Settings!$B$11,"Mastered",IF('Student Report'!$S36&gt;=Settings!$B$12,"Approaching","Not Yet")),"")),"")</f>
        <v/>
      </c>
      <c r="N46" s="30">
        <f>IFERROR(IF('Student Report'!$AA36&lt;&gt;"",IF('Student Report'!$AA36&gt;=Settings!$B$11,"Mastered",IF('Student Report'!$AA36&gt;=Settings!$B$12,"Approaching","Not Yet")),IF('Student Report'!$T36&lt;&gt;"",IF('Student Report'!$T36&gt;=Settings!$B$11,"Mastered",IF('Student Report'!$T36&gt;=Settings!$B$12,"Approaching","Not Yet")),"")),"")</f>
        <v/>
      </c>
      <c r="O46" s="30">
        <f>IFERROR(IF('Student Report'!$AB36&lt;&gt;"",IF('Student Report'!$AB36&gt;=Settings!$B$11,"Mastered",IF('Student Report'!$AB36&gt;=Settings!$B$12,"Approaching","Not Yet")),IF('Student Report'!$U36&lt;&gt;"",IF('Student Report'!$U36&gt;=Settings!$B$11,"Mastered",IF('Student Report'!$U36&gt;=Settings!$B$12,"Approaching","Not Yet")),"")),"")</f>
        <v/>
      </c>
    </row>
    <row r="47">
      <c r="A47" s="30">
        <f>'Student Report'!$A37</f>
        <v/>
      </c>
      <c r="B47" s="56">
        <f>'Student Report'!$B37</f>
        <v/>
      </c>
      <c r="C47" s="30">
        <f>'Student Report'!$C37</f>
        <v/>
      </c>
      <c r="D47" s="30">
        <f>'Student Report'!$G37</f>
        <v/>
      </c>
      <c r="E47" s="30">
        <f>'Student Report'!$I37</f>
        <v/>
      </c>
      <c r="F47" s="57">
        <f>'Student Report'!$AJ37</f>
        <v/>
      </c>
      <c r="G47" s="30">
        <f>'Student Report'!$AK37</f>
        <v/>
      </c>
      <c r="H47" s="30">
        <f>IF($B47="","",COUNTIF(I47:O47,"Not Yet"))</f>
        <v/>
      </c>
      <c r="I47" s="30">
        <f>IFERROR(IF('Student Report'!$V37&lt;&gt;"",IF('Student Report'!$V37&gt;=Settings!$B$11,"Mastered",IF('Student Report'!$V37&gt;=Settings!$B$12,"Approaching","Not Yet")),IF('Student Report'!$O37&lt;&gt;"",IF('Student Report'!$O37&gt;=Settings!$B$11,"Mastered",IF('Student Report'!$O37&gt;=Settings!$B$12,"Approaching","Not Yet")),"")),"")</f>
        <v/>
      </c>
      <c r="J47" s="30">
        <f>IFERROR(IF('Student Report'!$W37&lt;&gt;"",IF('Student Report'!$W37&gt;=Settings!$B$11,"Mastered",IF('Student Report'!$W37&gt;=Settings!$B$12,"Approaching","Not Yet")),IF('Student Report'!$P37&lt;&gt;"",IF('Student Report'!$P37&gt;=Settings!$B$11,"Mastered",IF('Student Report'!$P37&gt;=Settings!$B$12,"Approaching","Not Yet")),"")),"")</f>
        <v/>
      </c>
      <c r="K47" s="30">
        <f>IFERROR(IF('Student Report'!$X37&lt;&gt;"",IF('Student Report'!$X37&gt;=Settings!$B$11,"Mastered",IF('Student Report'!$X37&gt;=Settings!$B$12,"Approaching","Not Yet")),IF('Student Report'!$Q37&lt;&gt;"",IF('Student Report'!$Q37&gt;=Settings!$B$11,"Mastered",IF('Student Report'!$Q37&gt;=Settings!$B$12,"Approaching","Not Yet")),"")),"")</f>
        <v/>
      </c>
      <c r="L47" s="30">
        <f>IFERROR(IF('Student Report'!$Y37&lt;&gt;"",IF('Student Report'!$Y37&gt;=Settings!$B$11,"Mastered",IF('Student Report'!$Y37&gt;=Settings!$B$12,"Approaching","Not Yet")),IF('Student Report'!$R37&lt;&gt;"",IF('Student Report'!$R37&gt;=Settings!$B$11,"Mastered",IF('Student Report'!$R37&gt;=Settings!$B$12,"Approaching","Not Yet")),"")),"")</f>
        <v/>
      </c>
      <c r="M47" s="30">
        <f>IFERROR(IF('Student Report'!$Z37&lt;&gt;"",IF('Student Report'!$Z37&gt;=Settings!$B$11,"Mastered",IF('Student Report'!$Z37&gt;=Settings!$B$12,"Approaching","Not Yet")),IF('Student Report'!$S37&lt;&gt;"",IF('Student Report'!$S37&gt;=Settings!$B$11,"Mastered",IF('Student Report'!$S37&gt;=Settings!$B$12,"Approaching","Not Yet")),"")),"")</f>
        <v/>
      </c>
      <c r="N47" s="30">
        <f>IFERROR(IF('Student Report'!$AA37&lt;&gt;"",IF('Student Report'!$AA37&gt;=Settings!$B$11,"Mastered",IF('Student Report'!$AA37&gt;=Settings!$B$12,"Approaching","Not Yet")),IF('Student Report'!$T37&lt;&gt;"",IF('Student Report'!$T37&gt;=Settings!$B$11,"Mastered",IF('Student Report'!$T37&gt;=Settings!$B$12,"Approaching","Not Yet")),"")),"")</f>
        <v/>
      </c>
      <c r="O47" s="30">
        <f>IFERROR(IF('Student Report'!$AB37&lt;&gt;"",IF('Student Report'!$AB37&gt;=Settings!$B$11,"Mastered",IF('Student Report'!$AB37&gt;=Settings!$B$12,"Approaching","Not Yet")),IF('Student Report'!$U37&lt;&gt;"",IF('Student Report'!$U37&gt;=Settings!$B$11,"Mastered",IF('Student Report'!$U37&gt;=Settings!$B$12,"Approaching","Not Yet")),"")),"")</f>
        <v/>
      </c>
    </row>
    <row r="48">
      <c r="A48" s="30">
        <f>'Student Report'!$A38</f>
        <v/>
      </c>
      <c r="B48" s="56">
        <f>'Student Report'!$B38</f>
        <v/>
      </c>
      <c r="C48" s="30">
        <f>'Student Report'!$C38</f>
        <v/>
      </c>
      <c r="D48" s="30">
        <f>'Student Report'!$G38</f>
        <v/>
      </c>
      <c r="E48" s="30">
        <f>'Student Report'!$I38</f>
        <v/>
      </c>
      <c r="F48" s="57">
        <f>'Student Report'!$AJ38</f>
        <v/>
      </c>
      <c r="G48" s="30">
        <f>'Student Report'!$AK38</f>
        <v/>
      </c>
      <c r="H48" s="30">
        <f>IF($B48="","",COUNTIF(I48:O48,"Not Yet"))</f>
        <v/>
      </c>
      <c r="I48" s="30">
        <f>IFERROR(IF('Student Report'!$V38&lt;&gt;"",IF('Student Report'!$V38&gt;=Settings!$B$11,"Mastered",IF('Student Report'!$V38&gt;=Settings!$B$12,"Approaching","Not Yet")),IF('Student Report'!$O38&lt;&gt;"",IF('Student Report'!$O38&gt;=Settings!$B$11,"Mastered",IF('Student Report'!$O38&gt;=Settings!$B$12,"Approaching","Not Yet")),"")),"")</f>
        <v/>
      </c>
      <c r="J48" s="30">
        <f>IFERROR(IF('Student Report'!$W38&lt;&gt;"",IF('Student Report'!$W38&gt;=Settings!$B$11,"Mastered",IF('Student Report'!$W38&gt;=Settings!$B$12,"Approaching","Not Yet")),IF('Student Report'!$P38&lt;&gt;"",IF('Student Report'!$P38&gt;=Settings!$B$11,"Mastered",IF('Student Report'!$P38&gt;=Settings!$B$12,"Approaching","Not Yet")),"")),"")</f>
        <v/>
      </c>
      <c r="K48" s="30">
        <f>IFERROR(IF('Student Report'!$X38&lt;&gt;"",IF('Student Report'!$X38&gt;=Settings!$B$11,"Mastered",IF('Student Report'!$X38&gt;=Settings!$B$12,"Approaching","Not Yet")),IF('Student Report'!$Q38&lt;&gt;"",IF('Student Report'!$Q38&gt;=Settings!$B$11,"Mastered",IF('Student Report'!$Q38&gt;=Settings!$B$12,"Approaching","Not Yet")),"")),"")</f>
        <v/>
      </c>
      <c r="L48" s="30">
        <f>IFERROR(IF('Student Report'!$Y38&lt;&gt;"",IF('Student Report'!$Y38&gt;=Settings!$B$11,"Mastered",IF('Student Report'!$Y38&gt;=Settings!$B$12,"Approaching","Not Yet")),IF('Student Report'!$R38&lt;&gt;"",IF('Student Report'!$R38&gt;=Settings!$B$11,"Mastered",IF('Student Report'!$R38&gt;=Settings!$B$12,"Approaching","Not Yet")),"")),"")</f>
        <v/>
      </c>
      <c r="M48" s="30">
        <f>IFERROR(IF('Student Report'!$Z38&lt;&gt;"",IF('Student Report'!$Z38&gt;=Settings!$B$11,"Mastered",IF('Student Report'!$Z38&gt;=Settings!$B$12,"Approaching","Not Yet")),IF('Student Report'!$S38&lt;&gt;"",IF('Student Report'!$S38&gt;=Settings!$B$11,"Mastered",IF('Student Report'!$S38&gt;=Settings!$B$12,"Approaching","Not Yet")),"")),"")</f>
        <v/>
      </c>
      <c r="N48" s="30">
        <f>IFERROR(IF('Student Report'!$AA38&lt;&gt;"",IF('Student Report'!$AA38&gt;=Settings!$B$11,"Mastered",IF('Student Report'!$AA38&gt;=Settings!$B$12,"Approaching","Not Yet")),IF('Student Report'!$T38&lt;&gt;"",IF('Student Report'!$T38&gt;=Settings!$B$11,"Mastered",IF('Student Report'!$T38&gt;=Settings!$B$12,"Approaching","Not Yet")),"")),"")</f>
        <v/>
      </c>
      <c r="O48" s="30">
        <f>IFERROR(IF('Student Report'!$AB38&lt;&gt;"",IF('Student Report'!$AB38&gt;=Settings!$B$11,"Mastered",IF('Student Report'!$AB38&gt;=Settings!$B$12,"Approaching","Not Yet")),IF('Student Report'!$U38&lt;&gt;"",IF('Student Report'!$U38&gt;=Settings!$B$11,"Mastered",IF('Student Report'!$U38&gt;=Settings!$B$12,"Approaching","Not Yet")),"")),"")</f>
        <v/>
      </c>
    </row>
    <row r="49">
      <c r="A49" s="30">
        <f>'Student Report'!$A39</f>
        <v/>
      </c>
      <c r="B49" s="56">
        <f>'Student Report'!$B39</f>
        <v/>
      </c>
      <c r="C49" s="30">
        <f>'Student Report'!$C39</f>
        <v/>
      </c>
      <c r="D49" s="30">
        <f>'Student Report'!$G39</f>
        <v/>
      </c>
      <c r="E49" s="30">
        <f>'Student Report'!$I39</f>
        <v/>
      </c>
      <c r="F49" s="57">
        <f>'Student Report'!$AJ39</f>
        <v/>
      </c>
      <c r="G49" s="30">
        <f>'Student Report'!$AK39</f>
        <v/>
      </c>
      <c r="H49" s="30">
        <f>IF($B49="","",COUNTIF(I49:O49,"Not Yet"))</f>
        <v/>
      </c>
      <c r="I49" s="30">
        <f>IFERROR(IF('Student Report'!$V39&lt;&gt;"",IF('Student Report'!$V39&gt;=Settings!$B$11,"Mastered",IF('Student Report'!$V39&gt;=Settings!$B$12,"Approaching","Not Yet")),IF('Student Report'!$O39&lt;&gt;"",IF('Student Report'!$O39&gt;=Settings!$B$11,"Mastered",IF('Student Report'!$O39&gt;=Settings!$B$12,"Approaching","Not Yet")),"")),"")</f>
        <v/>
      </c>
      <c r="J49" s="30">
        <f>IFERROR(IF('Student Report'!$W39&lt;&gt;"",IF('Student Report'!$W39&gt;=Settings!$B$11,"Mastered",IF('Student Report'!$W39&gt;=Settings!$B$12,"Approaching","Not Yet")),IF('Student Report'!$P39&lt;&gt;"",IF('Student Report'!$P39&gt;=Settings!$B$11,"Mastered",IF('Student Report'!$P39&gt;=Settings!$B$12,"Approaching","Not Yet")),"")),"")</f>
        <v/>
      </c>
      <c r="K49" s="30">
        <f>IFERROR(IF('Student Report'!$X39&lt;&gt;"",IF('Student Report'!$X39&gt;=Settings!$B$11,"Mastered",IF('Student Report'!$X39&gt;=Settings!$B$12,"Approaching","Not Yet")),IF('Student Report'!$Q39&lt;&gt;"",IF('Student Report'!$Q39&gt;=Settings!$B$11,"Mastered",IF('Student Report'!$Q39&gt;=Settings!$B$12,"Approaching","Not Yet")),"")),"")</f>
        <v/>
      </c>
      <c r="L49" s="30">
        <f>IFERROR(IF('Student Report'!$Y39&lt;&gt;"",IF('Student Report'!$Y39&gt;=Settings!$B$11,"Mastered",IF('Student Report'!$Y39&gt;=Settings!$B$12,"Approaching","Not Yet")),IF('Student Report'!$R39&lt;&gt;"",IF('Student Report'!$R39&gt;=Settings!$B$11,"Mastered",IF('Student Report'!$R39&gt;=Settings!$B$12,"Approaching","Not Yet")),"")),"")</f>
        <v/>
      </c>
      <c r="M49" s="30">
        <f>IFERROR(IF('Student Report'!$Z39&lt;&gt;"",IF('Student Report'!$Z39&gt;=Settings!$B$11,"Mastered",IF('Student Report'!$Z39&gt;=Settings!$B$12,"Approaching","Not Yet")),IF('Student Report'!$S39&lt;&gt;"",IF('Student Report'!$S39&gt;=Settings!$B$11,"Mastered",IF('Student Report'!$S39&gt;=Settings!$B$12,"Approaching","Not Yet")),"")),"")</f>
        <v/>
      </c>
      <c r="N49" s="30">
        <f>IFERROR(IF('Student Report'!$AA39&lt;&gt;"",IF('Student Report'!$AA39&gt;=Settings!$B$11,"Mastered",IF('Student Report'!$AA39&gt;=Settings!$B$12,"Approaching","Not Yet")),IF('Student Report'!$T39&lt;&gt;"",IF('Student Report'!$T39&gt;=Settings!$B$11,"Mastered",IF('Student Report'!$T39&gt;=Settings!$B$12,"Approaching","Not Yet")),"")),"")</f>
        <v/>
      </c>
      <c r="O49" s="30">
        <f>IFERROR(IF('Student Report'!$AB39&lt;&gt;"",IF('Student Report'!$AB39&gt;=Settings!$B$11,"Mastered",IF('Student Report'!$AB39&gt;=Settings!$B$12,"Approaching","Not Yet")),IF('Student Report'!$U39&lt;&gt;"",IF('Student Report'!$U39&gt;=Settings!$B$11,"Mastered",IF('Student Report'!$U39&gt;=Settings!$B$12,"Approaching","Not Yet")),"")),"")</f>
        <v/>
      </c>
    </row>
    <row r="50">
      <c r="A50" s="30">
        <f>'Student Report'!$A40</f>
        <v/>
      </c>
      <c r="B50" s="56">
        <f>'Student Report'!$B40</f>
        <v/>
      </c>
      <c r="C50" s="30">
        <f>'Student Report'!$C40</f>
        <v/>
      </c>
      <c r="D50" s="30">
        <f>'Student Report'!$G40</f>
        <v/>
      </c>
      <c r="E50" s="30">
        <f>'Student Report'!$I40</f>
        <v/>
      </c>
      <c r="F50" s="57">
        <f>'Student Report'!$AJ40</f>
        <v/>
      </c>
      <c r="G50" s="30">
        <f>'Student Report'!$AK40</f>
        <v/>
      </c>
      <c r="H50" s="30">
        <f>IF($B50="","",COUNTIF(I50:O50,"Not Yet"))</f>
        <v/>
      </c>
      <c r="I50" s="30">
        <f>IFERROR(IF('Student Report'!$V40&lt;&gt;"",IF('Student Report'!$V40&gt;=Settings!$B$11,"Mastered",IF('Student Report'!$V40&gt;=Settings!$B$12,"Approaching","Not Yet")),IF('Student Report'!$O40&lt;&gt;"",IF('Student Report'!$O40&gt;=Settings!$B$11,"Mastered",IF('Student Report'!$O40&gt;=Settings!$B$12,"Approaching","Not Yet")),"")),"")</f>
        <v/>
      </c>
      <c r="J50" s="30">
        <f>IFERROR(IF('Student Report'!$W40&lt;&gt;"",IF('Student Report'!$W40&gt;=Settings!$B$11,"Mastered",IF('Student Report'!$W40&gt;=Settings!$B$12,"Approaching","Not Yet")),IF('Student Report'!$P40&lt;&gt;"",IF('Student Report'!$P40&gt;=Settings!$B$11,"Mastered",IF('Student Report'!$P40&gt;=Settings!$B$12,"Approaching","Not Yet")),"")),"")</f>
        <v/>
      </c>
      <c r="K50" s="30">
        <f>IFERROR(IF('Student Report'!$X40&lt;&gt;"",IF('Student Report'!$X40&gt;=Settings!$B$11,"Mastered",IF('Student Report'!$X40&gt;=Settings!$B$12,"Approaching","Not Yet")),IF('Student Report'!$Q40&lt;&gt;"",IF('Student Report'!$Q40&gt;=Settings!$B$11,"Mastered",IF('Student Report'!$Q40&gt;=Settings!$B$12,"Approaching","Not Yet")),"")),"")</f>
        <v/>
      </c>
      <c r="L50" s="30">
        <f>IFERROR(IF('Student Report'!$Y40&lt;&gt;"",IF('Student Report'!$Y40&gt;=Settings!$B$11,"Mastered",IF('Student Report'!$Y40&gt;=Settings!$B$12,"Approaching","Not Yet")),IF('Student Report'!$R40&lt;&gt;"",IF('Student Report'!$R40&gt;=Settings!$B$11,"Mastered",IF('Student Report'!$R40&gt;=Settings!$B$12,"Approaching","Not Yet")),"")),"")</f>
        <v/>
      </c>
      <c r="M50" s="30">
        <f>IFERROR(IF('Student Report'!$Z40&lt;&gt;"",IF('Student Report'!$Z40&gt;=Settings!$B$11,"Mastered",IF('Student Report'!$Z40&gt;=Settings!$B$12,"Approaching","Not Yet")),IF('Student Report'!$S40&lt;&gt;"",IF('Student Report'!$S40&gt;=Settings!$B$11,"Mastered",IF('Student Report'!$S40&gt;=Settings!$B$12,"Approaching","Not Yet")),"")),"")</f>
        <v/>
      </c>
      <c r="N50" s="30">
        <f>IFERROR(IF('Student Report'!$AA40&lt;&gt;"",IF('Student Report'!$AA40&gt;=Settings!$B$11,"Mastered",IF('Student Report'!$AA40&gt;=Settings!$B$12,"Approaching","Not Yet")),IF('Student Report'!$T40&lt;&gt;"",IF('Student Report'!$T40&gt;=Settings!$B$11,"Mastered",IF('Student Report'!$T40&gt;=Settings!$B$12,"Approaching","Not Yet")),"")),"")</f>
        <v/>
      </c>
      <c r="O50" s="30">
        <f>IFERROR(IF('Student Report'!$AB40&lt;&gt;"",IF('Student Report'!$AB40&gt;=Settings!$B$11,"Mastered",IF('Student Report'!$AB40&gt;=Settings!$B$12,"Approaching","Not Yet")),IF('Student Report'!$U40&lt;&gt;"",IF('Student Report'!$U40&gt;=Settings!$B$11,"Mastered",IF('Student Report'!$U40&gt;=Settings!$B$12,"Approaching","Not Yet")),"")),"")</f>
        <v/>
      </c>
    </row>
    <row r="51">
      <c r="A51" s="30">
        <f>'Student Report'!$A41</f>
        <v/>
      </c>
      <c r="B51" s="56">
        <f>'Student Report'!$B41</f>
        <v/>
      </c>
      <c r="C51" s="30">
        <f>'Student Report'!$C41</f>
        <v/>
      </c>
      <c r="D51" s="30">
        <f>'Student Report'!$G41</f>
        <v/>
      </c>
      <c r="E51" s="30">
        <f>'Student Report'!$I41</f>
        <v/>
      </c>
      <c r="F51" s="57">
        <f>'Student Report'!$AJ41</f>
        <v/>
      </c>
      <c r="G51" s="30">
        <f>'Student Report'!$AK41</f>
        <v/>
      </c>
      <c r="H51" s="30">
        <f>IF($B51="","",COUNTIF(I51:O51,"Not Yet"))</f>
        <v/>
      </c>
      <c r="I51" s="30">
        <f>IFERROR(IF('Student Report'!$V41&lt;&gt;"",IF('Student Report'!$V41&gt;=Settings!$B$11,"Mastered",IF('Student Report'!$V41&gt;=Settings!$B$12,"Approaching","Not Yet")),IF('Student Report'!$O41&lt;&gt;"",IF('Student Report'!$O41&gt;=Settings!$B$11,"Mastered",IF('Student Report'!$O41&gt;=Settings!$B$12,"Approaching","Not Yet")),"")),"")</f>
        <v/>
      </c>
      <c r="J51" s="30">
        <f>IFERROR(IF('Student Report'!$W41&lt;&gt;"",IF('Student Report'!$W41&gt;=Settings!$B$11,"Mastered",IF('Student Report'!$W41&gt;=Settings!$B$12,"Approaching","Not Yet")),IF('Student Report'!$P41&lt;&gt;"",IF('Student Report'!$P41&gt;=Settings!$B$11,"Mastered",IF('Student Report'!$P41&gt;=Settings!$B$12,"Approaching","Not Yet")),"")),"")</f>
        <v/>
      </c>
      <c r="K51" s="30">
        <f>IFERROR(IF('Student Report'!$X41&lt;&gt;"",IF('Student Report'!$X41&gt;=Settings!$B$11,"Mastered",IF('Student Report'!$X41&gt;=Settings!$B$12,"Approaching","Not Yet")),IF('Student Report'!$Q41&lt;&gt;"",IF('Student Report'!$Q41&gt;=Settings!$B$11,"Mastered",IF('Student Report'!$Q41&gt;=Settings!$B$12,"Approaching","Not Yet")),"")),"")</f>
        <v/>
      </c>
      <c r="L51" s="30">
        <f>IFERROR(IF('Student Report'!$Y41&lt;&gt;"",IF('Student Report'!$Y41&gt;=Settings!$B$11,"Mastered",IF('Student Report'!$Y41&gt;=Settings!$B$12,"Approaching","Not Yet")),IF('Student Report'!$R41&lt;&gt;"",IF('Student Report'!$R41&gt;=Settings!$B$11,"Mastered",IF('Student Report'!$R41&gt;=Settings!$B$12,"Approaching","Not Yet")),"")),"")</f>
        <v/>
      </c>
      <c r="M51" s="30">
        <f>IFERROR(IF('Student Report'!$Z41&lt;&gt;"",IF('Student Report'!$Z41&gt;=Settings!$B$11,"Mastered",IF('Student Report'!$Z41&gt;=Settings!$B$12,"Approaching","Not Yet")),IF('Student Report'!$S41&lt;&gt;"",IF('Student Report'!$S41&gt;=Settings!$B$11,"Mastered",IF('Student Report'!$S41&gt;=Settings!$B$12,"Approaching","Not Yet")),"")),"")</f>
        <v/>
      </c>
      <c r="N51" s="30">
        <f>IFERROR(IF('Student Report'!$AA41&lt;&gt;"",IF('Student Report'!$AA41&gt;=Settings!$B$11,"Mastered",IF('Student Report'!$AA41&gt;=Settings!$B$12,"Approaching","Not Yet")),IF('Student Report'!$T41&lt;&gt;"",IF('Student Report'!$T41&gt;=Settings!$B$11,"Mastered",IF('Student Report'!$T41&gt;=Settings!$B$12,"Approaching","Not Yet")),"")),"")</f>
        <v/>
      </c>
      <c r="O51" s="30">
        <f>IFERROR(IF('Student Report'!$AB41&lt;&gt;"",IF('Student Report'!$AB41&gt;=Settings!$B$11,"Mastered",IF('Student Report'!$AB41&gt;=Settings!$B$12,"Approaching","Not Yet")),IF('Student Report'!$U41&lt;&gt;"",IF('Student Report'!$U41&gt;=Settings!$B$11,"Mastered",IF('Student Report'!$U41&gt;=Settings!$B$12,"Approaching","Not Yet")),"")),"")</f>
        <v/>
      </c>
    </row>
    <row r="52">
      <c r="A52" s="30">
        <f>'Student Report'!$A42</f>
        <v/>
      </c>
      <c r="B52" s="56">
        <f>'Student Report'!$B42</f>
        <v/>
      </c>
      <c r="C52" s="30">
        <f>'Student Report'!$C42</f>
        <v/>
      </c>
      <c r="D52" s="30">
        <f>'Student Report'!$G42</f>
        <v/>
      </c>
      <c r="E52" s="30">
        <f>'Student Report'!$I42</f>
        <v/>
      </c>
      <c r="F52" s="57">
        <f>'Student Report'!$AJ42</f>
        <v/>
      </c>
      <c r="G52" s="30">
        <f>'Student Report'!$AK42</f>
        <v/>
      </c>
      <c r="H52" s="30">
        <f>IF($B52="","",COUNTIF(I52:O52,"Not Yet"))</f>
        <v/>
      </c>
      <c r="I52" s="30">
        <f>IFERROR(IF('Student Report'!$V42&lt;&gt;"",IF('Student Report'!$V42&gt;=Settings!$B$11,"Mastered",IF('Student Report'!$V42&gt;=Settings!$B$12,"Approaching","Not Yet")),IF('Student Report'!$O42&lt;&gt;"",IF('Student Report'!$O42&gt;=Settings!$B$11,"Mastered",IF('Student Report'!$O42&gt;=Settings!$B$12,"Approaching","Not Yet")),"")),"")</f>
        <v/>
      </c>
      <c r="J52" s="30">
        <f>IFERROR(IF('Student Report'!$W42&lt;&gt;"",IF('Student Report'!$W42&gt;=Settings!$B$11,"Mastered",IF('Student Report'!$W42&gt;=Settings!$B$12,"Approaching","Not Yet")),IF('Student Report'!$P42&lt;&gt;"",IF('Student Report'!$P42&gt;=Settings!$B$11,"Mastered",IF('Student Report'!$P42&gt;=Settings!$B$12,"Approaching","Not Yet")),"")),"")</f>
        <v/>
      </c>
      <c r="K52" s="30">
        <f>IFERROR(IF('Student Report'!$X42&lt;&gt;"",IF('Student Report'!$X42&gt;=Settings!$B$11,"Mastered",IF('Student Report'!$X42&gt;=Settings!$B$12,"Approaching","Not Yet")),IF('Student Report'!$Q42&lt;&gt;"",IF('Student Report'!$Q42&gt;=Settings!$B$11,"Mastered",IF('Student Report'!$Q42&gt;=Settings!$B$12,"Approaching","Not Yet")),"")),"")</f>
        <v/>
      </c>
      <c r="L52" s="30">
        <f>IFERROR(IF('Student Report'!$Y42&lt;&gt;"",IF('Student Report'!$Y42&gt;=Settings!$B$11,"Mastered",IF('Student Report'!$Y42&gt;=Settings!$B$12,"Approaching","Not Yet")),IF('Student Report'!$R42&lt;&gt;"",IF('Student Report'!$R42&gt;=Settings!$B$11,"Mastered",IF('Student Report'!$R42&gt;=Settings!$B$12,"Approaching","Not Yet")),"")),"")</f>
        <v/>
      </c>
      <c r="M52" s="30">
        <f>IFERROR(IF('Student Report'!$Z42&lt;&gt;"",IF('Student Report'!$Z42&gt;=Settings!$B$11,"Mastered",IF('Student Report'!$Z42&gt;=Settings!$B$12,"Approaching","Not Yet")),IF('Student Report'!$S42&lt;&gt;"",IF('Student Report'!$S42&gt;=Settings!$B$11,"Mastered",IF('Student Report'!$S42&gt;=Settings!$B$12,"Approaching","Not Yet")),"")),"")</f>
        <v/>
      </c>
      <c r="N52" s="30">
        <f>IFERROR(IF('Student Report'!$AA42&lt;&gt;"",IF('Student Report'!$AA42&gt;=Settings!$B$11,"Mastered",IF('Student Report'!$AA42&gt;=Settings!$B$12,"Approaching","Not Yet")),IF('Student Report'!$T42&lt;&gt;"",IF('Student Report'!$T42&gt;=Settings!$B$11,"Mastered",IF('Student Report'!$T42&gt;=Settings!$B$12,"Approaching","Not Yet")),"")),"")</f>
        <v/>
      </c>
      <c r="O52" s="30">
        <f>IFERROR(IF('Student Report'!$AB42&lt;&gt;"",IF('Student Report'!$AB42&gt;=Settings!$B$11,"Mastered",IF('Student Report'!$AB42&gt;=Settings!$B$12,"Approaching","Not Yet")),IF('Student Report'!$U42&lt;&gt;"",IF('Student Report'!$U42&gt;=Settings!$B$11,"Mastered",IF('Student Report'!$U42&gt;=Settings!$B$12,"Approaching","Not Yet")),"")),"")</f>
        <v/>
      </c>
    </row>
    <row r="53">
      <c r="A53" s="30">
        <f>'Student Report'!$A43</f>
        <v/>
      </c>
      <c r="B53" s="56">
        <f>'Student Report'!$B43</f>
        <v/>
      </c>
      <c r="C53" s="30">
        <f>'Student Report'!$C43</f>
        <v/>
      </c>
      <c r="D53" s="30">
        <f>'Student Report'!$G43</f>
        <v/>
      </c>
      <c r="E53" s="30">
        <f>'Student Report'!$I43</f>
        <v/>
      </c>
      <c r="F53" s="57">
        <f>'Student Report'!$AJ43</f>
        <v/>
      </c>
      <c r="G53" s="30">
        <f>'Student Report'!$AK43</f>
        <v/>
      </c>
      <c r="H53" s="30">
        <f>IF($B53="","",COUNTIF(I53:O53,"Not Yet"))</f>
        <v/>
      </c>
      <c r="I53" s="30">
        <f>IFERROR(IF('Student Report'!$V43&lt;&gt;"",IF('Student Report'!$V43&gt;=Settings!$B$11,"Mastered",IF('Student Report'!$V43&gt;=Settings!$B$12,"Approaching","Not Yet")),IF('Student Report'!$O43&lt;&gt;"",IF('Student Report'!$O43&gt;=Settings!$B$11,"Mastered",IF('Student Report'!$O43&gt;=Settings!$B$12,"Approaching","Not Yet")),"")),"")</f>
        <v/>
      </c>
      <c r="J53" s="30">
        <f>IFERROR(IF('Student Report'!$W43&lt;&gt;"",IF('Student Report'!$W43&gt;=Settings!$B$11,"Mastered",IF('Student Report'!$W43&gt;=Settings!$B$12,"Approaching","Not Yet")),IF('Student Report'!$P43&lt;&gt;"",IF('Student Report'!$P43&gt;=Settings!$B$11,"Mastered",IF('Student Report'!$P43&gt;=Settings!$B$12,"Approaching","Not Yet")),"")),"")</f>
        <v/>
      </c>
      <c r="K53" s="30">
        <f>IFERROR(IF('Student Report'!$X43&lt;&gt;"",IF('Student Report'!$X43&gt;=Settings!$B$11,"Mastered",IF('Student Report'!$X43&gt;=Settings!$B$12,"Approaching","Not Yet")),IF('Student Report'!$Q43&lt;&gt;"",IF('Student Report'!$Q43&gt;=Settings!$B$11,"Mastered",IF('Student Report'!$Q43&gt;=Settings!$B$12,"Approaching","Not Yet")),"")),"")</f>
        <v/>
      </c>
      <c r="L53" s="30">
        <f>IFERROR(IF('Student Report'!$Y43&lt;&gt;"",IF('Student Report'!$Y43&gt;=Settings!$B$11,"Mastered",IF('Student Report'!$Y43&gt;=Settings!$B$12,"Approaching","Not Yet")),IF('Student Report'!$R43&lt;&gt;"",IF('Student Report'!$R43&gt;=Settings!$B$11,"Mastered",IF('Student Report'!$R43&gt;=Settings!$B$12,"Approaching","Not Yet")),"")),"")</f>
        <v/>
      </c>
      <c r="M53" s="30">
        <f>IFERROR(IF('Student Report'!$Z43&lt;&gt;"",IF('Student Report'!$Z43&gt;=Settings!$B$11,"Mastered",IF('Student Report'!$Z43&gt;=Settings!$B$12,"Approaching","Not Yet")),IF('Student Report'!$S43&lt;&gt;"",IF('Student Report'!$S43&gt;=Settings!$B$11,"Mastered",IF('Student Report'!$S43&gt;=Settings!$B$12,"Approaching","Not Yet")),"")),"")</f>
        <v/>
      </c>
      <c r="N53" s="30">
        <f>IFERROR(IF('Student Report'!$AA43&lt;&gt;"",IF('Student Report'!$AA43&gt;=Settings!$B$11,"Mastered",IF('Student Report'!$AA43&gt;=Settings!$B$12,"Approaching","Not Yet")),IF('Student Report'!$T43&lt;&gt;"",IF('Student Report'!$T43&gt;=Settings!$B$11,"Mastered",IF('Student Report'!$T43&gt;=Settings!$B$12,"Approaching","Not Yet")),"")),"")</f>
        <v/>
      </c>
      <c r="O53" s="30">
        <f>IFERROR(IF('Student Report'!$AB43&lt;&gt;"",IF('Student Report'!$AB43&gt;=Settings!$B$11,"Mastered",IF('Student Report'!$AB43&gt;=Settings!$B$12,"Approaching","Not Yet")),IF('Student Report'!$U43&lt;&gt;"",IF('Student Report'!$U43&gt;=Settings!$B$11,"Mastered",IF('Student Report'!$U43&gt;=Settings!$B$12,"Approaching","Not Yet")),"")),"")</f>
        <v/>
      </c>
    </row>
    <row r="54">
      <c r="A54" s="30">
        <f>'Student Report'!$A44</f>
        <v/>
      </c>
      <c r="B54" s="56">
        <f>'Student Report'!$B44</f>
        <v/>
      </c>
      <c r="C54" s="30">
        <f>'Student Report'!$C44</f>
        <v/>
      </c>
      <c r="D54" s="30">
        <f>'Student Report'!$G44</f>
        <v/>
      </c>
      <c r="E54" s="30">
        <f>'Student Report'!$I44</f>
        <v/>
      </c>
      <c r="F54" s="57">
        <f>'Student Report'!$AJ44</f>
        <v/>
      </c>
      <c r="G54" s="30">
        <f>'Student Report'!$AK44</f>
        <v/>
      </c>
      <c r="H54" s="30">
        <f>IF($B54="","",COUNTIF(I54:O54,"Not Yet"))</f>
        <v/>
      </c>
      <c r="I54" s="30">
        <f>IFERROR(IF('Student Report'!$V44&lt;&gt;"",IF('Student Report'!$V44&gt;=Settings!$B$11,"Mastered",IF('Student Report'!$V44&gt;=Settings!$B$12,"Approaching","Not Yet")),IF('Student Report'!$O44&lt;&gt;"",IF('Student Report'!$O44&gt;=Settings!$B$11,"Mastered",IF('Student Report'!$O44&gt;=Settings!$B$12,"Approaching","Not Yet")),"")),"")</f>
        <v/>
      </c>
      <c r="J54" s="30">
        <f>IFERROR(IF('Student Report'!$W44&lt;&gt;"",IF('Student Report'!$W44&gt;=Settings!$B$11,"Mastered",IF('Student Report'!$W44&gt;=Settings!$B$12,"Approaching","Not Yet")),IF('Student Report'!$P44&lt;&gt;"",IF('Student Report'!$P44&gt;=Settings!$B$11,"Mastered",IF('Student Report'!$P44&gt;=Settings!$B$12,"Approaching","Not Yet")),"")),"")</f>
        <v/>
      </c>
      <c r="K54" s="30">
        <f>IFERROR(IF('Student Report'!$X44&lt;&gt;"",IF('Student Report'!$X44&gt;=Settings!$B$11,"Mastered",IF('Student Report'!$X44&gt;=Settings!$B$12,"Approaching","Not Yet")),IF('Student Report'!$Q44&lt;&gt;"",IF('Student Report'!$Q44&gt;=Settings!$B$11,"Mastered",IF('Student Report'!$Q44&gt;=Settings!$B$12,"Approaching","Not Yet")),"")),"")</f>
        <v/>
      </c>
      <c r="L54" s="30">
        <f>IFERROR(IF('Student Report'!$Y44&lt;&gt;"",IF('Student Report'!$Y44&gt;=Settings!$B$11,"Mastered",IF('Student Report'!$Y44&gt;=Settings!$B$12,"Approaching","Not Yet")),IF('Student Report'!$R44&lt;&gt;"",IF('Student Report'!$R44&gt;=Settings!$B$11,"Mastered",IF('Student Report'!$R44&gt;=Settings!$B$12,"Approaching","Not Yet")),"")),"")</f>
        <v/>
      </c>
      <c r="M54" s="30">
        <f>IFERROR(IF('Student Report'!$Z44&lt;&gt;"",IF('Student Report'!$Z44&gt;=Settings!$B$11,"Mastered",IF('Student Report'!$Z44&gt;=Settings!$B$12,"Approaching","Not Yet")),IF('Student Report'!$S44&lt;&gt;"",IF('Student Report'!$S44&gt;=Settings!$B$11,"Mastered",IF('Student Report'!$S44&gt;=Settings!$B$12,"Approaching","Not Yet")),"")),"")</f>
        <v/>
      </c>
      <c r="N54" s="30">
        <f>IFERROR(IF('Student Report'!$AA44&lt;&gt;"",IF('Student Report'!$AA44&gt;=Settings!$B$11,"Mastered",IF('Student Report'!$AA44&gt;=Settings!$B$12,"Approaching","Not Yet")),IF('Student Report'!$T44&lt;&gt;"",IF('Student Report'!$T44&gt;=Settings!$B$11,"Mastered",IF('Student Report'!$T44&gt;=Settings!$B$12,"Approaching","Not Yet")),"")),"")</f>
        <v/>
      </c>
      <c r="O54" s="30">
        <f>IFERROR(IF('Student Report'!$AB44&lt;&gt;"",IF('Student Report'!$AB44&gt;=Settings!$B$11,"Mastered",IF('Student Report'!$AB44&gt;=Settings!$B$12,"Approaching","Not Yet")),IF('Student Report'!$U44&lt;&gt;"",IF('Student Report'!$U44&gt;=Settings!$B$11,"Mastered",IF('Student Report'!$U44&gt;=Settings!$B$12,"Approaching","Not Yet")),"")),"")</f>
        <v/>
      </c>
    </row>
    <row r="55">
      <c r="A55" s="30">
        <f>'Student Report'!$A45</f>
        <v/>
      </c>
      <c r="B55" s="56">
        <f>'Student Report'!$B45</f>
        <v/>
      </c>
      <c r="C55" s="30">
        <f>'Student Report'!$C45</f>
        <v/>
      </c>
      <c r="D55" s="30">
        <f>'Student Report'!$G45</f>
        <v/>
      </c>
      <c r="E55" s="30">
        <f>'Student Report'!$I45</f>
        <v/>
      </c>
      <c r="F55" s="57">
        <f>'Student Report'!$AJ45</f>
        <v/>
      </c>
      <c r="G55" s="30">
        <f>'Student Report'!$AK45</f>
        <v/>
      </c>
      <c r="H55" s="30">
        <f>IF($B55="","",COUNTIF(I55:O55,"Not Yet"))</f>
        <v/>
      </c>
      <c r="I55" s="30">
        <f>IFERROR(IF('Student Report'!$V45&lt;&gt;"",IF('Student Report'!$V45&gt;=Settings!$B$11,"Mastered",IF('Student Report'!$V45&gt;=Settings!$B$12,"Approaching","Not Yet")),IF('Student Report'!$O45&lt;&gt;"",IF('Student Report'!$O45&gt;=Settings!$B$11,"Mastered",IF('Student Report'!$O45&gt;=Settings!$B$12,"Approaching","Not Yet")),"")),"")</f>
        <v/>
      </c>
      <c r="J55" s="30">
        <f>IFERROR(IF('Student Report'!$W45&lt;&gt;"",IF('Student Report'!$W45&gt;=Settings!$B$11,"Mastered",IF('Student Report'!$W45&gt;=Settings!$B$12,"Approaching","Not Yet")),IF('Student Report'!$P45&lt;&gt;"",IF('Student Report'!$P45&gt;=Settings!$B$11,"Mastered",IF('Student Report'!$P45&gt;=Settings!$B$12,"Approaching","Not Yet")),"")),"")</f>
        <v/>
      </c>
      <c r="K55" s="30">
        <f>IFERROR(IF('Student Report'!$X45&lt;&gt;"",IF('Student Report'!$X45&gt;=Settings!$B$11,"Mastered",IF('Student Report'!$X45&gt;=Settings!$B$12,"Approaching","Not Yet")),IF('Student Report'!$Q45&lt;&gt;"",IF('Student Report'!$Q45&gt;=Settings!$B$11,"Mastered",IF('Student Report'!$Q45&gt;=Settings!$B$12,"Approaching","Not Yet")),"")),"")</f>
        <v/>
      </c>
      <c r="L55" s="30">
        <f>IFERROR(IF('Student Report'!$Y45&lt;&gt;"",IF('Student Report'!$Y45&gt;=Settings!$B$11,"Mastered",IF('Student Report'!$Y45&gt;=Settings!$B$12,"Approaching","Not Yet")),IF('Student Report'!$R45&lt;&gt;"",IF('Student Report'!$R45&gt;=Settings!$B$11,"Mastered",IF('Student Report'!$R45&gt;=Settings!$B$12,"Approaching","Not Yet")),"")),"")</f>
        <v/>
      </c>
      <c r="M55" s="30">
        <f>IFERROR(IF('Student Report'!$Z45&lt;&gt;"",IF('Student Report'!$Z45&gt;=Settings!$B$11,"Mastered",IF('Student Report'!$Z45&gt;=Settings!$B$12,"Approaching","Not Yet")),IF('Student Report'!$S45&lt;&gt;"",IF('Student Report'!$S45&gt;=Settings!$B$11,"Mastered",IF('Student Report'!$S45&gt;=Settings!$B$12,"Approaching","Not Yet")),"")),"")</f>
        <v/>
      </c>
      <c r="N55" s="30">
        <f>IFERROR(IF('Student Report'!$AA45&lt;&gt;"",IF('Student Report'!$AA45&gt;=Settings!$B$11,"Mastered",IF('Student Report'!$AA45&gt;=Settings!$B$12,"Approaching","Not Yet")),IF('Student Report'!$T45&lt;&gt;"",IF('Student Report'!$T45&gt;=Settings!$B$11,"Mastered",IF('Student Report'!$T45&gt;=Settings!$B$12,"Approaching","Not Yet")),"")),"")</f>
        <v/>
      </c>
      <c r="O55" s="30">
        <f>IFERROR(IF('Student Report'!$AB45&lt;&gt;"",IF('Student Report'!$AB45&gt;=Settings!$B$11,"Mastered",IF('Student Report'!$AB45&gt;=Settings!$B$12,"Approaching","Not Yet")),IF('Student Report'!$U45&lt;&gt;"",IF('Student Report'!$U45&gt;=Settings!$B$11,"Mastered",IF('Student Report'!$U45&gt;=Settings!$B$12,"Approaching","Not Yet")),"")),"")</f>
        <v/>
      </c>
    </row>
    <row r="56">
      <c r="A56" s="30">
        <f>'Student Report'!$A46</f>
        <v/>
      </c>
      <c r="B56" s="56">
        <f>'Student Report'!$B46</f>
        <v/>
      </c>
      <c r="C56" s="30">
        <f>'Student Report'!$C46</f>
        <v/>
      </c>
      <c r="D56" s="30">
        <f>'Student Report'!$G46</f>
        <v/>
      </c>
      <c r="E56" s="30">
        <f>'Student Report'!$I46</f>
        <v/>
      </c>
      <c r="F56" s="57">
        <f>'Student Report'!$AJ46</f>
        <v/>
      </c>
      <c r="G56" s="30">
        <f>'Student Report'!$AK46</f>
        <v/>
      </c>
      <c r="H56" s="30">
        <f>IF($B56="","",COUNTIF(I56:O56,"Not Yet"))</f>
        <v/>
      </c>
      <c r="I56" s="30">
        <f>IFERROR(IF('Student Report'!$V46&lt;&gt;"",IF('Student Report'!$V46&gt;=Settings!$B$11,"Mastered",IF('Student Report'!$V46&gt;=Settings!$B$12,"Approaching","Not Yet")),IF('Student Report'!$O46&lt;&gt;"",IF('Student Report'!$O46&gt;=Settings!$B$11,"Mastered",IF('Student Report'!$O46&gt;=Settings!$B$12,"Approaching","Not Yet")),"")),"")</f>
        <v/>
      </c>
      <c r="J56" s="30">
        <f>IFERROR(IF('Student Report'!$W46&lt;&gt;"",IF('Student Report'!$W46&gt;=Settings!$B$11,"Mastered",IF('Student Report'!$W46&gt;=Settings!$B$12,"Approaching","Not Yet")),IF('Student Report'!$P46&lt;&gt;"",IF('Student Report'!$P46&gt;=Settings!$B$11,"Mastered",IF('Student Report'!$P46&gt;=Settings!$B$12,"Approaching","Not Yet")),"")),"")</f>
        <v/>
      </c>
      <c r="K56" s="30">
        <f>IFERROR(IF('Student Report'!$X46&lt;&gt;"",IF('Student Report'!$X46&gt;=Settings!$B$11,"Mastered",IF('Student Report'!$X46&gt;=Settings!$B$12,"Approaching","Not Yet")),IF('Student Report'!$Q46&lt;&gt;"",IF('Student Report'!$Q46&gt;=Settings!$B$11,"Mastered",IF('Student Report'!$Q46&gt;=Settings!$B$12,"Approaching","Not Yet")),"")),"")</f>
        <v/>
      </c>
      <c r="L56" s="30">
        <f>IFERROR(IF('Student Report'!$Y46&lt;&gt;"",IF('Student Report'!$Y46&gt;=Settings!$B$11,"Mastered",IF('Student Report'!$Y46&gt;=Settings!$B$12,"Approaching","Not Yet")),IF('Student Report'!$R46&lt;&gt;"",IF('Student Report'!$R46&gt;=Settings!$B$11,"Mastered",IF('Student Report'!$R46&gt;=Settings!$B$12,"Approaching","Not Yet")),"")),"")</f>
        <v/>
      </c>
      <c r="M56" s="30">
        <f>IFERROR(IF('Student Report'!$Z46&lt;&gt;"",IF('Student Report'!$Z46&gt;=Settings!$B$11,"Mastered",IF('Student Report'!$Z46&gt;=Settings!$B$12,"Approaching","Not Yet")),IF('Student Report'!$S46&lt;&gt;"",IF('Student Report'!$S46&gt;=Settings!$B$11,"Mastered",IF('Student Report'!$S46&gt;=Settings!$B$12,"Approaching","Not Yet")),"")),"")</f>
        <v/>
      </c>
      <c r="N56" s="30">
        <f>IFERROR(IF('Student Report'!$AA46&lt;&gt;"",IF('Student Report'!$AA46&gt;=Settings!$B$11,"Mastered",IF('Student Report'!$AA46&gt;=Settings!$B$12,"Approaching","Not Yet")),IF('Student Report'!$T46&lt;&gt;"",IF('Student Report'!$T46&gt;=Settings!$B$11,"Mastered",IF('Student Report'!$T46&gt;=Settings!$B$12,"Approaching","Not Yet")),"")),"")</f>
        <v/>
      </c>
      <c r="O56" s="30">
        <f>IFERROR(IF('Student Report'!$AB46&lt;&gt;"",IF('Student Report'!$AB46&gt;=Settings!$B$11,"Mastered",IF('Student Report'!$AB46&gt;=Settings!$B$12,"Approaching","Not Yet")),IF('Student Report'!$U46&lt;&gt;"",IF('Student Report'!$U46&gt;=Settings!$B$11,"Mastered",IF('Student Report'!$U46&gt;=Settings!$B$12,"Approaching","Not Yet")),"")),"")</f>
        <v/>
      </c>
    </row>
    <row r="57">
      <c r="A57" s="30">
        <f>'Student Report'!$A47</f>
        <v/>
      </c>
      <c r="B57" s="56">
        <f>'Student Report'!$B47</f>
        <v/>
      </c>
      <c r="C57" s="30">
        <f>'Student Report'!$C47</f>
        <v/>
      </c>
      <c r="D57" s="30">
        <f>'Student Report'!$G47</f>
        <v/>
      </c>
      <c r="E57" s="30">
        <f>'Student Report'!$I47</f>
        <v/>
      </c>
      <c r="F57" s="57">
        <f>'Student Report'!$AJ47</f>
        <v/>
      </c>
      <c r="G57" s="30">
        <f>'Student Report'!$AK47</f>
        <v/>
      </c>
      <c r="H57" s="30">
        <f>IF($B57="","",COUNTIF(I57:O57,"Not Yet"))</f>
        <v/>
      </c>
      <c r="I57" s="30">
        <f>IFERROR(IF('Student Report'!$V47&lt;&gt;"",IF('Student Report'!$V47&gt;=Settings!$B$11,"Mastered",IF('Student Report'!$V47&gt;=Settings!$B$12,"Approaching","Not Yet")),IF('Student Report'!$O47&lt;&gt;"",IF('Student Report'!$O47&gt;=Settings!$B$11,"Mastered",IF('Student Report'!$O47&gt;=Settings!$B$12,"Approaching","Not Yet")),"")),"")</f>
        <v/>
      </c>
      <c r="J57" s="30">
        <f>IFERROR(IF('Student Report'!$W47&lt;&gt;"",IF('Student Report'!$W47&gt;=Settings!$B$11,"Mastered",IF('Student Report'!$W47&gt;=Settings!$B$12,"Approaching","Not Yet")),IF('Student Report'!$P47&lt;&gt;"",IF('Student Report'!$P47&gt;=Settings!$B$11,"Mastered",IF('Student Report'!$P47&gt;=Settings!$B$12,"Approaching","Not Yet")),"")),"")</f>
        <v/>
      </c>
      <c r="K57" s="30">
        <f>IFERROR(IF('Student Report'!$X47&lt;&gt;"",IF('Student Report'!$X47&gt;=Settings!$B$11,"Mastered",IF('Student Report'!$X47&gt;=Settings!$B$12,"Approaching","Not Yet")),IF('Student Report'!$Q47&lt;&gt;"",IF('Student Report'!$Q47&gt;=Settings!$B$11,"Mastered",IF('Student Report'!$Q47&gt;=Settings!$B$12,"Approaching","Not Yet")),"")),"")</f>
        <v/>
      </c>
      <c r="L57" s="30">
        <f>IFERROR(IF('Student Report'!$Y47&lt;&gt;"",IF('Student Report'!$Y47&gt;=Settings!$B$11,"Mastered",IF('Student Report'!$Y47&gt;=Settings!$B$12,"Approaching","Not Yet")),IF('Student Report'!$R47&lt;&gt;"",IF('Student Report'!$R47&gt;=Settings!$B$11,"Mastered",IF('Student Report'!$R47&gt;=Settings!$B$12,"Approaching","Not Yet")),"")),"")</f>
        <v/>
      </c>
      <c r="M57" s="30">
        <f>IFERROR(IF('Student Report'!$Z47&lt;&gt;"",IF('Student Report'!$Z47&gt;=Settings!$B$11,"Mastered",IF('Student Report'!$Z47&gt;=Settings!$B$12,"Approaching","Not Yet")),IF('Student Report'!$S47&lt;&gt;"",IF('Student Report'!$S47&gt;=Settings!$B$11,"Mastered",IF('Student Report'!$S47&gt;=Settings!$B$12,"Approaching","Not Yet")),"")),"")</f>
        <v/>
      </c>
      <c r="N57" s="30">
        <f>IFERROR(IF('Student Report'!$AA47&lt;&gt;"",IF('Student Report'!$AA47&gt;=Settings!$B$11,"Mastered",IF('Student Report'!$AA47&gt;=Settings!$B$12,"Approaching","Not Yet")),IF('Student Report'!$T47&lt;&gt;"",IF('Student Report'!$T47&gt;=Settings!$B$11,"Mastered",IF('Student Report'!$T47&gt;=Settings!$B$12,"Approaching","Not Yet")),"")),"")</f>
        <v/>
      </c>
      <c r="O57" s="30">
        <f>IFERROR(IF('Student Report'!$AB47&lt;&gt;"",IF('Student Report'!$AB47&gt;=Settings!$B$11,"Mastered",IF('Student Report'!$AB47&gt;=Settings!$B$12,"Approaching","Not Yet")),IF('Student Report'!$U47&lt;&gt;"",IF('Student Report'!$U47&gt;=Settings!$B$11,"Mastered",IF('Student Report'!$U47&gt;=Settings!$B$12,"Approaching","Not Yet")),"")),"")</f>
        <v/>
      </c>
    </row>
    <row r="58">
      <c r="A58" s="30">
        <f>'Student Report'!$A48</f>
        <v/>
      </c>
      <c r="B58" s="56">
        <f>'Student Report'!$B48</f>
        <v/>
      </c>
      <c r="C58" s="30">
        <f>'Student Report'!$C48</f>
        <v/>
      </c>
      <c r="D58" s="30">
        <f>'Student Report'!$G48</f>
        <v/>
      </c>
      <c r="E58" s="30">
        <f>'Student Report'!$I48</f>
        <v/>
      </c>
      <c r="F58" s="57">
        <f>'Student Report'!$AJ48</f>
        <v/>
      </c>
      <c r="G58" s="30">
        <f>'Student Report'!$AK48</f>
        <v/>
      </c>
      <c r="H58" s="30">
        <f>IF($B58="","",COUNTIF(I58:O58,"Not Yet"))</f>
        <v/>
      </c>
      <c r="I58" s="30">
        <f>IFERROR(IF('Student Report'!$V48&lt;&gt;"",IF('Student Report'!$V48&gt;=Settings!$B$11,"Mastered",IF('Student Report'!$V48&gt;=Settings!$B$12,"Approaching","Not Yet")),IF('Student Report'!$O48&lt;&gt;"",IF('Student Report'!$O48&gt;=Settings!$B$11,"Mastered",IF('Student Report'!$O48&gt;=Settings!$B$12,"Approaching","Not Yet")),"")),"")</f>
        <v/>
      </c>
      <c r="J58" s="30">
        <f>IFERROR(IF('Student Report'!$W48&lt;&gt;"",IF('Student Report'!$W48&gt;=Settings!$B$11,"Mastered",IF('Student Report'!$W48&gt;=Settings!$B$12,"Approaching","Not Yet")),IF('Student Report'!$P48&lt;&gt;"",IF('Student Report'!$P48&gt;=Settings!$B$11,"Mastered",IF('Student Report'!$P48&gt;=Settings!$B$12,"Approaching","Not Yet")),"")),"")</f>
        <v/>
      </c>
      <c r="K58" s="30">
        <f>IFERROR(IF('Student Report'!$X48&lt;&gt;"",IF('Student Report'!$X48&gt;=Settings!$B$11,"Mastered",IF('Student Report'!$X48&gt;=Settings!$B$12,"Approaching","Not Yet")),IF('Student Report'!$Q48&lt;&gt;"",IF('Student Report'!$Q48&gt;=Settings!$B$11,"Mastered",IF('Student Report'!$Q48&gt;=Settings!$B$12,"Approaching","Not Yet")),"")),"")</f>
        <v/>
      </c>
      <c r="L58" s="30">
        <f>IFERROR(IF('Student Report'!$Y48&lt;&gt;"",IF('Student Report'!$Y48&gt;=Settings!$B$11,"Mastered",IF('Student Report'!$Y48&gt;=Settings!$B$12,"Approaching","Not Yet")),IF('Student Report'!$R48&lt;&gt;"",IF('Student Report'!$R48&gt;=Settings!$B$11,"Mastered",IF('Student Report'!$R48&gt;=Settings!$B$12,"Approaching","Not Yet")),"")),"")</f>
        <v/>
      </c>
      <c r="M58" s="30">
        <f>IFERROR(IF('Student Report'!$Z48&lt;&gt;"",IF('Student Report'!$Z48&gt;=Settings!$B$11,"Mastered",IF('Student Report'!$Z48&gt;=Settings!$B$12,"Approaching","Not Yet")),IF('Student Report'!$S48&lt;&gt;"",IF('Student Report'!$S48&gt;=Settings!$B$11,"Mastered",IF('Student Report'!$S48&gt;=Settings!$B$12,"Approaching","Not Yet")),"")),"")</f>
        <v/>
      </c>
      <c r="N58" s="30">
        <f>IFERROR(IF('Student Report'!$AA48&lt;&gt;"",IF('Student Report'!$AA48&gt;=Settings!$B$11,"Mastered",IF('Student Report'!$AA48&gt;=Settings!$B$12,"Approaching","Not Yet")),IF('Student Report'!$T48&lt;&gt;"",IF('Student Report'!$T48&gt;=Settings!$B$11,"Mastered",IF('Student Report'!$T48&gt;=Settings!$B$12,"Approaching","Not Yet")),"")),"")</f>
        <v/>
      </c>
      <c r="O58" s="30">
        <f>IFERROR(IF('Student Report'!$AB48&lt;&gt;"",IF('Student Report'!$AB48&gt;=Settings!$B$11,"Mastered",IF('Student Report'!$AB48&gt;=Settings!$B$12,"Approaching","Not Yet")),IF('Student Report'!$U48&lt;&gt;"",IF('Student Report'!$U48&gt;=Settings!$B$11,"Mastered",IF('Student Report'!$U48&gt;=Settings!$B$12,"Approaching","Not Yet")),"")),"")</f>
        <v/>
      </c>
    </row>
    <row r="59">
      <c r="A59" s="30">
        <f>'Student Report'!$A49</f>
        <v/>
      </c>
      <c r="B59" s="56">
        <f>'Student Report'!$B49</f>
        <v/>
      </c>
      <c r="C59" s="30">
        <f>'Student Report'!$C49</f>
        <v/>
      </c>
      <c r="D59" s="30">
        <f>'Student Report'!$G49</f>
        <v/>
      </c>
      <c r="E59" s="30">
        <f>'Student Report'!$I49</f>
        <v/>
      </c>
      <c r="F59" s="57">
        <f>'Student Report'!$AJ49</f>
        <v/>
      </c>
      <c r="G59" s="30">
        <f>'Student Report'!$AK49</f>
        <v/>
      </c>
      <c r="H59" s="30">
        <f>IF($B59="","",COUNTIF(I59:O59,"Not Yet"))</f>
        <v/>
      </c>
      <c r="I59" s="30">
        <f>IFERROR(IF('Student Report'!$V49&lt;&gt;"",IF('Student Report'!$V49&gt;=Settings!$B$11,"Mastered",IF('Student Report'!$V49&gt;=Settings!$B$12,"Approaching","Not Yet")),IF('Student Report'!$O49&lt;&gt;"",IF('Student Report'!$O49&gt;=Settings!$B$11,"Mastered",IF('Student Report'!$O49&gt;=Settings!$B$12,"Approaching","Not Yet")),"")),"")</f>
        <v/>
      </c>
      <c r="J59" s="30">
        <f>IFERROR(IF('Student Report'!$W49&lt;&gt;"",IF('Student Report'!$W49&gt;=Settings!$B$11,"Mastered",IF('Student Report'!$W49&gt;=Settings!$B$12,"Approaching","Not Yet")),IF('Student Report'!$P49&lt;&gt;"",IF('Student Report'!$P49&gt;=Settings!$B$11,"Mastered",IF('Student Report'!$P49&gt;=Settings!$B$12,"Approaching","Not Yet")),"")),"")</f>
        <v/>
      </c>
      <c r="K59" s="30">
        <f>IFERROR(IF('Student Report'!$X49&lt;&gt;"",IF('Student Report'!$X49&gt;=Settings!$B$11,"Mastered",IF('Student Report'!$X49&gt;=Settings!$B$12,"Approaching","Not Yet")),IF('Student Report'!$Q49&lt;&gt;"",IF('Student Report'!$Q49&gt;=Settings!$B$11,"Mastered",IF('Student Report'!$Q49&gt;=Settings!$B$12,"Approaching","Not Yet")),"")),"")</f>
        <v/>
      </c>
      <c r="L59" s="30">
        <f>IFERROR(IF('Student Report'!$Y49&lt;&gt;"",IF('Student Report'!$Y49&gt;=Settings!$B$11,"Mastered",IF('Student Report'!$Y49&gt;=Settings!$B$12,"Approaching","Not Yet")),IF('Student Report'!$R49&lt;&gt;"",IF('Student Report'!$R49&gt;=Settings!$B$11,"Mastered",IF('Student Report'!$R49&gt;=Settings!$B$12,"Approaching","Not Yet")),"")),"")</f>
        <v/>
      </c>
      <c r="M59" s="30">
        <f>IFERROR(IF('Student Report'!$Z49&lt;&gt;"",IF('Student Report'!$Z49&gt;=Settings!$B$11,"Mastered",IF('Student Report'!$Z49&gt;=Settings!$B$12,"Approaching","Not Yet")),IF('Student Report'!$S49&lt;&gt;"",IF('Student Report'!$S49&gt;=Settings!$B$11,"Mastered",IF('Student Report'!$S49&gt;=Settings!$B$12,"Approaching","Not Yet")),"")),"")</f>
        <v/>
      </c>
      <c r="N59" s="30">
        <f>IFERROR(IF('Student Report'!$AA49&lt;&gt;"",IF('Student Report'!$AA49&gt;=Settings!$B$11,"Mastered",IF('Student Report'!$AA49&gt;=Settings!$B$12,"Approaching","Not Yet")),IF('Student Report'!$T49&lt;&gt;"",IF('Student Report'!$T49&gt;=Settings!$B$11,"Mastered",IF('Student Report'!$T49&gt;=Settings!$B$12,"Approaching","Not Yet")),"")),"")</f>
        <v/>
      </c>
      <c r="O59" s="30">
        <f>IFERROR(IF('Student Report'!$AB49&lt;&gt;"",IF('Student Report'!$AB49&gt;=Settings!$B$11,"Mastered",IF('Student Report'!$AB49&gt;=Settings!$B$12,"Approaching","Not Yet")),IF('Student Report'!$U49&lt;&gt;"",IF('Student Report'!$U49&gt;=Settings!$B$11,"Mastered",IF('Student Report'!$U49&gt;=Settings!$B$12,"Approaching","Not Yet")),"")),"")</f>
        <v/>
      </c>
    </row>
    <row r="60">
      <c r="A60" s="30">
        <f>'Student Report'!$A50</f>
        <v/>
      </c>
      <c r="B60" s="56">
        <f>'Student Report'!$B50</f>
        <v/>
      </c>
      <c r="C60" s="30">
        <f>'Student Report'!$C50</f>
        <v/>
      </c>
      <c r="D60" s="30">
        <f>'Student Report'!$G50</f>
        <v/>
      </c>
      <c r="E60" s="30">
        <f>'Student Report'!$I50</f>
        <v/>
      </c>
      <c r="F60" s="57">
        <f>'Student Report'!$AJ50</f>
        <v/>
      </c>
      <c r="G60" s="30">
        <f>'Student Report'!$AK50</f>
        <v/>
      </c>
      <c r="H60" s="30">
        <f>IF($B60="","",COUNTIF(I60:O60,"Not Yet"))</f>
        <v/>
      </c>
      <c r="I60" s="30">
        <f>IFERROR(IF('Student Report'!$V50&lt;&gt;"",IF('Student Report'!$V50&gt;=Settings!$B$11,"Mastered",IF('Student Report'!$V50&gt;=Settings!$B$12,"Approaching","Not Yet")),IF('Student Report'!$O50&lt;&gt;"",IF('Student Report'!$O50&gt;=Settings!$B$11,"Mastered",IF('Student Report'!$O50&gt;=Settings!$B$12,"Approaching","Not Yet")),"")),"")</f>
        <v/>
      </c>
      <c r="J60" s="30">
        <f>IFERROR(IF('Student Report'!$W50&lt;&gt;"",IF('Student Report'!$W50&gt;=Settings!$B$11,"Mastered",IF('Student Report'!$W50&gt;=Settings!$B$12,"Approaching","Not Yet")),IF('Student Report'!$P50&lt;&gt;"",IF('Student Report'!$P50&gt;=Settings!$B$11,"Mastered",IF('Student Report'!$P50&gt;=Settings!$B$12,"Approaching","Not Yet")),"")),"")</f>
        <v/>
      </c>
      <c r="K60" s="30">
        <f>IFERROR(IF('Student Report'!$X50&lt;&gt;"",IF('Student Report'!$X50&gt;=Settings!$B$11,"Mastered",IF('Student Report'!$X50&gt;=Settings!$B$12,"Approaching","Not Yet")),IF('Student Report'!$Q50&lt;&gt;"",IF('Student Report'!$Q50&gt;=Settings!$B$11,"Mastered",IF('Student Report'!$Q50&gt;=Settings!$B$12,"Approaching","Not Yet")),"")),"")</f>
        <v/>
      </c>
      <c r="L60" s="30">
        <f>IFERROR(IF('Student Report'!$Y50&lt;&gt;"",IF('Student Report'!$Y50&gt;=Settings!$B$11,"Mastered",IF('Student Report'!$Y50&gt;=Settings!$B$12,"Approaching","Not Yet")),IF('Student Report'!$R50&lt;&gt;"",IF('Student Report'!$R50&gt;=Settings!$B$11,"Mastered",IF('Student Report'!$R50&gt;=Settings!$B$12,"Approaching","Not Yet")),"")),"")</f>
        <v/>
      </c>
      <c r="M60" s="30">
        <f>IFERROR(IF('Student Report'!$Z50&lt;&gt;"",IF('Student Report'!$Z50&gt;=Settings!$B$11,"Mastered",IF('Student Report'!$Z50&gt;=Settings!$B$12,"Approaching","Not Yet")),IF('Student Report'!$S50&lt;&gt;"",IF('Student Report'!$S50&gt;=Settings!$B$11,"Mastered",IF('Student Report'!$S50&gt;=Settings!$B$12,"Approaching","Not Yet")),"")),"")</f>
        <v/>
      </c>
      <c r="N60" s="30">
        <f>IFERROR(IF('Student Report'!$AA50&lt;&gt;"",IF('Student Report'!$AA50&gt;=Settings!$B$11,"Mastered",IF('Student Report'!$AA50&gt;=Settings!$B$12,"Approaching","Not Yet")),IF('Student Report'!$T50&lt;&gt;"",IF('Student Report'!$T50&gt;=Settings!$B$11,"Mastered",IF('Student Report'!$T50&gt;=Settings!$B$12,"Approaching","Not Yet")),"")),"")</f>
        <v/>
      </c>
      <c r="O60" s="30">
        <f>IFERROR(IF('Student Report'!$AB50&lt;&gt;"",IF('Student Report'!$AB50&gt;=Settings!$B$11,"Mastered",IF('Student Report'!$AB50&gt;=Settings!$B$12,"Approaching","Not Yet")),IF('Student Report'!$U50&lt;&gt;"",IF('Student Report'!$U50&gt;=Settings!$B$11,"Mastered",IF('Student Report'!$U50&gt;=Settings!$B$12,"Approaching","Not Yet")),"")),"")</f>
        <v/>
      </c>
    </row>
    <row r="61">
      <c r="A61" s="30">
        <f>'Student Report'!$A51</f>
        <v/>
      </c>
      <c r="B61" s="56">
        <f>'Student Report'!$B51</f>
        <v/>
      </c>
      <c r="C61" s="30">
        <f>'Student Report'!$C51</f>
        <v/>
      </c>
      <c r="D61" s="30">
        <f>'Student Report'!$G51</f>
        <v/>
      </c>
      <c r="E61" s="30">
        <f>'Student Report'!$I51</f>
        <v/>
      </c>
      <c r="F61" s="57">
        <f>'Student Report'!$AJ51</f>
        <v/>
      </c>
      <c r="G61" s="30">
        <f>'Student Report'!$AK51</f>
        <v/>
      </c>
      <c r="H61" s="30">
        <f>IF($B61="","",COUNTIF(I61:O61,"Not Yet"))</f>
        <v/>
      </c>
      <c r="I61" s="30">
        <f>IFERROR(IF('Student Report'!$V51&lt;&gt;"",IF('Student Report'!$V51&gt;=Settings!$B$11,"Mastered",IF('Student Report'!$V51&gt;=Settings!$B$12,"Approaching","Not Yet")),IF('Student Report'!$O51&lt;&gt;"",IF('Student Report'!$O51&gt;=Settings!$B$11,"Mastered",IF('Student Report'!$O51&gt;=Settings!$B$12,"Approaching","Not Yet")),"")),"")</f>
        <v/>
      </c>
      <c r="J61" s="30">
        <f>IFERROR(IF('Student Report'!$W51&lt;&gt;"",IF('Student Report'!$W51&gt;=Settings!$B$11,"Mastered",IF('Student Report'!$W51&gt;=Settings!$B$12,"Approaching","Not Yet")),IF('Student Report'!$P51&lt;&gt;"",IF('Student Report'!$P51&gt;=Settings!$B$11,"Mastered",IF('Student Report'!$P51&gt;=Settings!$B$12,"Approaching","Not Yet")),"")),"")</f>
        <v/>
      </c>
      <c r="K61" s="30">
        <f>IFERROR(IF('Student Report'!$X51&lt;&gt;"",IF('Student Report'!$X51&gt;=Settings!$B$11,"Mastered",IF('Student Report'!$X51&gt;=Settings!$B$12,"Approaching","Not Yet")),IF('Student Report'!$Q51&lt;&gt;"",IF('Student Report'!$Q51&gt;=Settings!$B$11,"Mastered",IF('Student Report'!$Q51&gt;=Settings!$B$12,"Approaching","Not Yet")),"")),"")</f>
        <v/>
      </c>
      <c r="L61" s="30">
        <f>IFERROR(IF('Student Report'!$Y51&lt;&gt;"",IF('Student Report'!$Y51&gt;=Settings!$B$11,"Mastered",IF('Student Report'!$Y51&gt;=Settings!$B$12,"Approaching","Not Yet")),IF('Student Report'!$R51&lt;&gt;"",IF('Student Report'!$R51&gt;=Settings!$B$11,"Mastered",IF('Student Report'!$R51&gt;=Settings!$B$12,"Approaching","Not Yet")),"")),"")</f>
        <v/>
      </c>
      <c r="M61" s="30">
        <f>IFERROR(IF('Student Report'!$Z51&lt;&gt;"",IF('Student Report'!$Z51&gt;=Settings!$B$11,"Mastered",IF('Student Report'!$Z51&gt;=Settings!$B$12,"Approaching","Not Yet")),IF('Student Report'!$S51&lt;&gt;"",IF('Student Report'!$S51&gt;=Settings!$B$11,"Mastered",IF('Student Report'!$S51&gt;=Settings!$B$12,"Approaching","Not Yet")),"")),"")</f>
        <v/>
      </c>
      <c r="N61" s="30">
        <f>IFERROR(IF('Student Report'!$AA51&lt;&gt;"",IF('Student Report'!$AA51&gt;=Settings!$B$11,"Mastered",IF('Student Report'!$AA51&gt;=Settings!$B$12,"Approaching","Not Yet")),IF('Student Report'!$T51&lt;&gt;"",IF('Student Report'!$T51&gt;=Settings!$B$11,"Mastered",IF('Student Report'!$T51&gt;=Settings!$B$12,"Approaching","Not Yet")),"")),"")</f>
        <v/>
      </c>
      <c r="O61" s="30">
        <f>IFERROR(IF('Student Report'!$AB51&lt;&gt;"",IF('Student Report'!$AB51&gt;=Settings!$B$11,"Mastered",IF('Student Report'!$AB51&gt;=Settings!$B$12,"Approaching","Not Yet")),IF('Student Report'!$U51&lt;&gt;"",IF('Student Report'!$U51&gt;=Settings!$B$11,"Mastered",IF('Student Report'!$U51&gt;=Settings!$B$12,"Approaching","Not Yet")),"")),"")</f>
        <v/>
      </c>
    </row>
    <row r="62">
      <c r="A62" s="30">
        <f>'Student Report'!$A52</f>
        <v/>
      </c>
      <c r="B62" s="56">
        <f>'Student Report'!$B52</f>
        <v/>
      </c>
      <c r="C62" s="30">
        <f>'Student Report'!$C52</f>
        <v/>
      </c>
      <c r="D62" s="30">
        <f>'Student Report'!$G52</f>
        <v/>
      </c>
      <c r="E62" s="30">
        <f>'Student Report'!$I52</f>
        <v/>
      </c>
      <c r="F62" s="57">
        <f>'Student Report'!$AJ52</f>
        <v/>
      </c>
      <c r="G62" s="30">
        <f>'Student Report'!$AK52</f>
        <v/>
      </c>
      <c r="H62" s="30">
        <f>IF($B62="","",COUNTIF(I62:O62,"Not Yet"))</f>
        <v/>
      </c>
      <c r="I62" s="30">
        <f>IFERROR(IF('Student Report'!$V52&lt;&gt;"",IF('Student Report'!$V52&gt;=Settings!$B$11,"Mastered",IF('Student Report'!$V52&gt;=Settings!$B$12,"Approaching","Not Yet")),IF('Student Report'!$O52&lt;&gt;"",IF('Student Report'!$O52&gt;=Settings!$B$11,"Mastered",IF('Student Report'!$O52&gt;=Settings!$B$12,"Approaching","Not Yet")),"")),"")</f>
        <v/>
      </c>
      <c r="J62" s="30">
        <f>IFERROR(IF('Student Report'!$W52&lt;&gt;"",IF('Student Report'!$W52&gt;=Settings!$B$11,"Mastered",IF('Student Report'!$W52&gt;=Settings!$B$12,"Approaching","Not Yet")),IF('Student Report'!$P52&lt;&gt;"",IF('Student Report'!$P52&gt;=Settings!$B$11,"Mastered",IF('Student Report'!$P52&gt;=Settings!$B$12,"Approaching","Not Yet")),"")),"")</f>
        <v/>
      </c>
      <c r="K62" s="30">
        <f>IFERROR(IF('Student Report'!$X52&lt;&gt;"",IF('Student Report'!$X52&gt;=Settings!$B$11,"Mastered",IF('Student Report'!$X52&gt;=Settings!$B$12,"Approaching","Not Yet")),IF('Student Report'!$Q52&lt;&gt;"",IF('Student Report'!$Q52&gt;=Settings!$B$11,"Mastered",IF('Student Report'!$Q52&gt;=Settings!$B$12,"Approaching","Not Yet")),"")),"")</f>
        <v/>
      </c>
      <c r="L62" s="30">
        <f>IFERROR(IF('Student Report'!$Y52&lt;&gt;"",IF('Student Report'!$Y52&gt;=Settings!$B$11,"Mastered",IF('Student Report'!$Y52&gt;=Settings!$B$12,"Approaching","Not Yet")),IF('Student Report'!$R52&lt;&gt;"",IF('Student Report'!$R52&gt;=Settings!$B$11,"Mastered",IF('Student Report'!$R52&gt;=Settings!$B$12,"Approaching","Not Yet")),"")),"")</f>
        <v/>
      </c>
      <c r="M62" s="30">
        <f>IFERROR(IF('Student Report'!$Z52&lt;&gt;"",IF('Student Report'!$Z52&gt;=Settings!$B$11,"Mastered",IF('Student Report'!$Z52&gt;=Settings!$B$12,"Approaching","Not Yet")),IF('Student Report'!$S52&lt;&gt;"",IF('Student Report'!$S52&gt;=Settings!$B$11,"Mastered",IF('Student Report'!$S52&gt;=Settings!$B$12,"Approaching","Not Yet")),"")),"")</f>
        <v/>
      </c>
      <c r="N62" s="30">
        <f>IFERROR(IF('Student Report'!$AA52&lt;&gt;"",IF('Student Report'!$AA52&gt;=Settings!$B$11,"Mastered",IF('Student Report'!$AA52&gt;=Settings!$B$12,"Approaching","Not Yet")),IF('Student Report'!$T52&lt;&gt;"",IF('Student Report'!$T52&gt;=Settings!$B$11,"Mastered",IF('Student Report'!$T52&gt;=Settings!$B$12,"Approaching","Not Yet")),"")),"")</f>
        <v/>
      </c>
      <c r="O62" s="30">
        <f>IFERROR(IF('Student Report'!$AB52&lt;&gt;"",IF('Student Report'!$AB52&gt;=Settings!$B$11,"Mastered",IF('Student Report'!$AB52&gt;=Settings!$B$12,"Approaching","Not Yet")),IF('Student Report'!$U52&lt;&gt;"",IF('Student Report'!$U52&gt;=Settings!$B$11,"Mastered",IF('Student Report'!$U52&gt;=Settings!$B$12,"Approaching","Not Yet")),"")),"")</f>
        <v/>
      </c>
    </row>
    <row r="63">
      <c r="A63" s="30">
        <f>'Student Report'!$A53</f>
        <v/>
      </c>
      <c r="B63" s="56">
        <f>'Student Report'!$B53</f>
        <v/>
      </c>
      <c r="C63" s="30">
        <f>'Student Report'!$C53</f>
        <v/>
      </c>
      <c r="D63" s="30">
        <f>'Student Report'!$G53</f>
        <v/>
      </c>
      <c r="E63" s="30">
        <f>'Student Report'!$I53</f>
        <v/>
      </c>
      <c r="F63" s="57">
        <f>'Student Report'!$AJ53</f>
        <v/>
      </c>
      <c r="G63" s="30">
        <f>'Student Report'!$AK53</f>
        <v/>
      </c>
      <c r="H63" s="30">
        <f>IF($B63="","",COUNTIF(I63:O63,"Not Yet"))</f>
        <v/>
      </c>
      <c r="I63" s="30">
        <f>IFERROR(IF('Student Report'!$V53&lt;&gt;"",IF('Student Report'!$V53&gt;=Settings!$B$11,"Mastered",IF('Student Report'!$V53&gt;=Settings!$B$12,"Approaching","Not Yet")),IF('Student Report'!$O53&lt;&gt;"",IF('Student Report'!$O53&gt;=Settings!$B$11,"Mastered",IF('Student Report'!$O53&gt;=Settings!$B$12,"Approaching","Not Yet")),"")),"")</f>
        <v/>
      </c>
      <c r="J63" s="30">
        <f>IFERROR(IF('Student Report'!$W53&lt;&gt;"",IF('Student Report'!$W53&gt;=Settings!$B$11,"Mastered",IF('Student Report'!$W53&gt;=Settings!$B$12,"Approaching","Not Yet")),IF('Student Report'!$P53&lt;&gt;"",IF('Student Report'!$P53&gt;=Settings!$B$11,"Mastered",IF('Student Report'!$P53&gt;=Settings!$B$12,"Approaching","Not Yet")),"")),"")</f>
        <v/>
      </c>
      <c r="K63" s="30">
        <f>IFERROR(IF('Student Report'!$X53&lt;&gt;"",IF('Student Report'!$X53&gt;=Settings!$B$11,"Mastered",IF('Student Report'!$X53&gt;=Settings!$B$12,"Approaching","Not Yet")),IF('Student Report'!$Q53&lt;&gt;"",IF('Student Report'!$Q53&gt;=Settings!$B$11,"Mastered",IF('Student Report'!$Q53&gt;=Settings!$B$12,"Approaching","Not Yet")),"")),"")</f>
        <v/>
      </c>
      <c r="L63" s="30">
        <f>IFERROR(IF('Student Report'!$Y53&lt;&gt;"",IF('Student Report'!$Y53&gt;=Settings!$B$11,"Mastered",IF('Student Report'!$Y53&gt;=Settings!$B$12,"Approaching","Not Yet")),IF('Student Report'!$R53&lt;&gt;"",IF('Student Report'!$R53&gt;=Settings!$B$11,"Mastered",IF('Student Report'!$R53&gt;=Settings!$B$12,"Approaching","Not Yet")),"")),"")</f>
        <v/>
      </c>
      <c r="M63" s="30">
        <f>IFERROR(IF('Student Report'!$Z53&lt;&gt;"",IF('Student Report'!$Z53&gt;=Settings!$B$11,"Mastered",IF('Student Report'!$Z53&gt;=Settings!$B$12,"Approaching","Not Yet")),IF('Student Report'!$S53&lt;&gt;"",IF('Student Report'!$S53&gt;=Settings!$B$11,"Mastered",IF('Student Report'!$S53&gt;=Settings!$B$12,"Approaching","Not Yet")),"")),"")</f>
        <v/>
      </c>
      <c r="N63" s="30">
        <f>IFERROR(IF('Student Report'!$AA53&lt;&gt;"",IF('Student Report'!$AA53&gt;=Settings!$B$11,"Mastered",IF('Student Report'!$AA53&gt;=Settings!$B$12,"Approaching","Not Yet")),IF('Student Report'!$T53&lt;&gt;"",IF('Student Report'!$T53&gt;=Settings!$B$11,"Mastered",IF('Student Report'!$T53&gt;=Settings!$B$12,"Approaching","Not Yet")),"")),"")</f>
        <v/>
      </c>
      <c r="O63" s="30">
        <f>IFERROR(IF('Student Report'!$AB53&lt;&gt;"",IF('Student Report'!$AB53&gt;=Settings!$B$11,"Mastered",IF('Student Report'!$AB53&gt;=Settings!$B$12,"Approaching","Not Yet")),IF('Student Report'!$U53&lt;&gt;"",IF('Student Report'!$U53&gt;=Settings!$B$11,"Mastered",IF('Student Report'!$U53&gt;=Settings!$B$12,"Approaching","Not Yet")),"")),"")</f>
        <v/>
      </c>
    </row>
    <row r="64">
      <c r="A64" s="30">
        <f>'Student Report'!$A54</f>
        <v/>
      </c>
      <c r="B64" s="56">
        <f>'Student Report'!$B54</f>
        <v/>
      </c>
      <c r="C64" s="30">
        <f>'Student Report'!$C54</f>
        <v/>
      </c>
      <c r="D64" s="30">
        <f>'Student Report'!$G54</f>
        <v/>
      </c>
      <c r="E64" s="30">
        <f>'Student Report'!$I54</f>
        <v/>
      </c>
      <c r="F64" s="57">
        <f>'Student Report'!$AJ54</f>
        <v/>
      </c>
      <c r="G64" s="30">
        <f>'Student Report'!$AK54</f>
        <v/>
      </c>
      <c r="H64" s="30">
        <f>IF($B64="","",COUNTIF(I64:O64,"Not Yet"))</f>
        <v/>
      </c>
      <c r="I64" s="30">
        <f>IFERROR(IF('Student Report'!$V54&lt;&gt;"",IF('Student Report'!$V54&gt;=Settings!$B$11,"Mastered",IF('Student Report'!$V54&gt;=Settings!$B$12,"Approaching","Not Yet")),IF('Student Report'!$O54&lt;&gt;"",IF('Student Report'!$O54&gt;=Settings!$B$11,"Mastered",IF('Student Report'!$O54&gt;=Settings!$B$12,"Approaching","Not Yet")),"")),"")</f>
        <v/>
      </c>
      <c r="J64" s="30">
        <f>IFERROR(IF('Student Report'!$W54&lt;&gt;"",IF('Student Report'!$W54&gt;=Settings!$B$11,"Mastered",IF('Student Report'!$W54&gt;=Settings!$B$12,"Approaching","Not Yet")),IF('Student Report'!$P54&lt;&gt;"",IF('Student Report'!$P54&gt;=Settings!$B$11,"Mastered",IF('Student Report'!$P54&gt;=Settings!$B$12,"Approaching","Not Yet")),"")),"")</f>
        <v/>
      </c>
      <c r="K64" s="30">
        <f>IFERROR(IF('Student Report'!$X54&lt;&gt;"",IF('Student Report'!$X54&gt;=Settings!$B$11,"Mastered",IF('Student Report'!$X54&gt;=Settings!$B$12,"Approaching","Not Yet")),IF('Student Report'!$Q54&lt;&gt;"",IF('Student Report'!$Q54&gt;=Settings!$B$11,"Mastered",IF('Student Report'!$Q54&gt;=Settings!$B$12,"Approaching","Not Yet")),"")),"")</f>
        <v/>
      </c>
      <c r="L64" s="30">
        <f>IFERROR(IF('Student Report'!$Y54&lt;&gt;"",IF('Student Report'!$Y54&gt;=Settings!$B$11,"Mastered",IF('Student Report'!$Y54&gt;=Settings!$B$12,"Approaching","Not Yet")),IF('Student Report'!$R54&lt;&gt;"",IF('Student Report'!$R54&gt;=Settings!$B$11,"Mastered",IF('Student Report'!$R54&gt;=Settings!$B$12,"Approaching","Not Yet")),"")),"")</f>
        <v/>
      </c>
      <c r="M64" s="30">
        <f>IFERROR(IF('Student Report'!$Z54&lt;&gt;"",IF('Student Report'!$Z54&gt;=Settings!$B$11,"Mastered",IF('Student Report'!$Z54&gt;=Settings!$B$12,"Approaching","Not Yet")),IF('Student Report'!$S54&lt;&gt;"",IF('Student Report'!$S54&gt;=Settings!$B$11,"Mastered",IF('Student Report'!$S54&gt;=Settings!$B$12,"Approaching","Not Yet")),"")),"")</f>
        <v/>
      </c>
      <c r="N64" s="30">
        <f>IFERROR(IF('Student Report'!$AA54&lt;&gt;"",IF('Student Report'!$AA54&gt;=Settings!$B$11,"Mastered",IF('Student Report'!$AA54&gt;=Settings!$B$12,"Approaching","Not Yet")),IF('Student Report'!$T54&lt;&gt;"",IF('Student Report'!$T54&gt;=Settings!$B$11,"Mastered",IF('Student Report'!$T54&gt;=Settings!$B$12,"Approaching","Not Yet")),"")),"")</f>
        <v/>
      </c>
      <c r="O64" s="30">
        <f>IFERROR(IF('Student Report'!$AB54&lt;&gt;"",IF('Student Report'!$AB54&gt;=Settings!$B$11,"Mastered",IF('Student Report'!$AB54&gt;=Settings!$B$12,"Approaching","Not Yet")),IF('Student Report'!$U54&lt;&gt;"",IF('Student Report'!$U54&gt;=Settings!$B$11,"Mastered",IF('Student Report'!$U54&gt;=Settings!$B$12,"Approaching","Not Yet")),"")),"")</f>
        <v/>
      </c>
    </row>
    <row r="65">
      <c r="A65" s="30">
        <f>'Student Report'!$A55</f>
        <v/>
      </c>
      <c r="B65" s="56">
        <f>'Student Report'!$B55</f>
        <v/>
      </c>
      <c r="C65" s="30">
        <f>'Student Report'!$C55</f>
        <v/>
      </c>
      <c r="D65" s="30">
        <f>'Student Report'!$G55</f>
        <v/>
      </c>
      <c r="E65" s="30">
        <f>'Student Report'!$I55</f>
        <v/>
      </c>
      <c r="F65" s="57">
        <f>'Student Report'!$AJ55</f>
        <v/>
      </c>
      <c r="G65" s="30">
        <f>'Student Report'!$AK55</f>
        <v/>
      </c>
      <c r="H65" s="30">
        <f>IF($B65="","",COUNTIF(I65:O65,"Not Yet"))</f>
        <v/>
      </c>
      <c r="I65" s="30">
        <f>IFERROR(IF('Student Report'!$V55&lt;&gt;"",IF('Student Report'!$V55&gt;=Settings!$B$11,"Mastered",IF('Student Report'!$V55&gt;=Settings!$B$12,"Approaching","Not Yet")),IF('Student Report'!$O55&lt;&gt;"",IF('Student Report'!$O55&gt;=Settings!$B$11,"Mastered",IF('Student Report'!$O55&gt;=Settings!$B$12,"Approaching","Not Yet")),"")),"")</f>
        <v/>
      </c>
      <c r="J65" s="30">
        <f>IFERROR(IF('Student Report'!$W55&lt;&gt;"",IF('Student Report'!$W55&gt;=Settings!$B$11,"Mastered",IF('Student Report'!$W55&gt;=Settings!$B$12,"Approaching","Not Yet")),IF('Student Report'!$P55&lt;&gt;"",IF('Student Report'!$P55&gt;=Settings!$B$11,"Mastered",IF('Student Report'!$P55&gt;=Settings!$B$12,"Approaching","Not Yet")),"")),"")</f>
        <v/>
      </c>
      <c r="K65" s="30">
        <f>IFERROR(IF('Student Report'!$X55&lt;&gt;"",IF('Student Report'!$X55&gt;=Settings!$B$11,"Mastered",IF('Student Report'!$X55&gt;=Settings!$B$12,"Approaching","Not Yet")),IF('Student Report'!$Q55&lt;&gt;"",IF('Student Report'!$Q55&gt;=Settings!$B$11,"Mastered",IF('Student Report'!$Q55&gt;=Settings!$B$12,"Approaching","Not Yet")),"")),"")</f>
        <v/>
      </c>
      <c r="L65" s="30">
        <f>IFERROR(IF('Student Report'!$Y55&lt;&gt;"",IF('Student Report'!$Y55&gt;=Settings!$B$11,"Mastered",IF('Student Report'!$Y55&gt;=Settings!$B$12,"Approaching","Not Yet")),IF('Student Report'!$R55&lt;&gt;"",IF('Student Report'!$R55&gt;=Settings!$B$11,"Mastered",IF('Student Report'!$R55&gt;=Settings!$B$12,"Approaching","Not Yet")),"")),"")</f>
        <v/>
      </c>
      <c r="M65" s="30">
        <f>IFERROR(IF('Student Report'!$Z55&lt;&gt;"",IF('Student Report'!$Z55&gt;=Settings!$B$11,"Mastered",IF('Student Report'!$Z55&gt;=Settings!$B$12,"Approaching","Not Yet")),IF('Student Report'!$S55&lt;&gt;"",IF('Student Report'!$S55&gt;=Settings!$B$11,"Mastered",IF('Student Report'!$S55&gt;=Settings!$B$12,"Approaching","Not Yet")),"")),"")</f>
        <v/>
      </c>
      <c r="N65" s="30">
        <f>IFERROR(IF('Student Report'!$AA55&lt;&gt;"",IF('Student Report'!$AA55&gt;=Settings!$B$11,"Mastered",IF('Student Report'!$AA55&gt;=Settings!$B$12,"Approaching","Not Yet")),IF('Student Report'!$T55&lt;&gt;"",IF('Student Report'!$T55&gt;=Settings!$B$11,"Mastered",IF('Student Report'!$T55&gt;=Settings!$B$12,"Approaching","Not Yet")),"")),"")</f>
        <v/>
      </c>
      <c r="O65" s="30">
        <f>IFERROR(IF('Student Report'!$AB55&lt;&gt;"",IF('Student Report'!$AB55&gt;=Settings!$B$11,"Mastered",IF('Student Report'!$AB55&gt;=Settings!$B$12,"Approaching","Not Yet")),IF('Student Report'!$U55&lt;&gt;"",IF('Student Report'!$U55&gt;=Settings!$B$11,"Mastered",IF('Student Report'!$U55&gt;=Settings!$B$12,"Approaching","Not Yet")),"")),"")</f>
        <v/>
      </c>
    </row>
    <row r="66">
      <c r="A66" s="30">
        <f>'Student Report'!$A56</f>
        <v/>
      </c>
      <c r="B66" s="56">
        <f>'Student Report'!$B56</f>
        <v/>
      </c>
      <c r="C66" s="30">
        <f>'Student Report'!$C56</f>
        <v/>
      </c>
      <c r="D66" s="30">
        <f>'Student Report'!$G56</f>
        <v/>
      </c>
      <c r="E66" s="30">
        <f>'Student Report'!$I56</f>
        <v/>
      </c>
      <c r="F66" s="57">
        <f>'Student Report'!$AJ56</f>
        <v/>
      </c>
      <c r="G66" s="30">
        <f>'Student Report'!$AK56</f>
        <v/>
      </c>
      <c r="H66" s="30">
        <f>IF($B66="","",COUNTIF(I66:O66,"Not Yet"))</f>
        <v/>
      </c>
      <c r="I66" s="30">
        <f>IFERROR(IF('Student Report'!$V56&lt;&gt;"",IF('Student Report'!$V56&gt;=Settings!$B$11,"Mastered",IF('Student Report'!$V56&gt;=Settings!$B$12,"Approaching","Not Yet")),IF('Student Report'!$O56&lt;&gt;"",IF('Student Report'!$O56&gt;=Settings!$B$11,"Mastered",IF('Student Report'!$O56&gt;=Settings!$B$12,"Approaching","Not Yet")),"")),"")</f>
        <v/>
      </c>
      <c r="J66" s="30">
        <f>IFERROR(IF('Student Report'!$W56&lt;&gt;"",IF('Student Report'!$W56&gt;=Settings!$B$11,"Mastered",IF('Student Report'!$W56&gt;=Settings!$B$12,"Approaching","Not Yet")),IF('Student Report'!$P56&lt;&gt;"",IF('Student Report'!$P56&gt;=Settings!$B$11,"Mastered",IF('Student Report'!$P56&gt;=Settings!$B$12,"Approaching","Not Yet")),"")),"")</f>
        <v/>
      </c>
      <c r="K66" s="30">
        <f>IFERROR(IF('Student Report'!$X56&lt;&gt;"",IF('Student Report'!$X56&gt;=Settings!$B$11,"Mastered",IF('Student Report'!$X56&gt;=Settings!$B$12,"Approaching","Not Yet")),IF('Student Report'!$Q56&lt;&gt;"",IF('Student Report'!$Q56&gt;=Settings!$B$11,"Mastered",IF('Student Report'!$Q56&gt;=Settings!$B$12,"Approaching","Not Yet")),"")),"")</f>
        <v/>
      </c>
      <c r="L66" s="30">
        <f>IFERROR(IF('Student Report'!$Y56&lt;&gt;"",IF('Student Report'!$Y56&gt;=Settings!$B$11,"Mastered",IF('Student Report'!$Y56&gt;=Settings!$B$12,"Approaching","Not Yet")),IF('Student Report'!$R56&lt;&gt;"",IF('Student Report'!$R56&gt;=Settings!$B$11,"Mastered",IF('Student Report'!$R56&gt;=Settings!$B$12,"Approaching","Not Yet")),"")),"")</f>
        <v/>
      </c>
      <c r="M66" s="30">
        <f>IFERROR(IF('Student Report'!$Z56&lt;&gt;"",IF('Student Report'!$Z56&gt;=Settings!$B$11,"Mastered",IF('Student Report'!$Z56&gt;=Settings!$B$12,"Approaching","Not Yet")),IF('Student Report'!$S56&lt;&gt;"",IF('Student Report'!$S56&gt;=Settings!$B$11,"Mastered",IF('Student Report'!$S56&gt;=Settings!$B$12,"Approaching","Not Yet")),"")),"")</f>
        <v/>
      </c>
      <c r="N66" s="30">
        <f>IFERROR(IF('Student Report'!$AA56&lt;&gt;"",IF('Student Report'!$AA56&gt;=Settings!$B$11,"Mastered",IF('Student Report'!$AA56&gt;=Settings!$B$12,"Approaching","Not Yet")),IF('Student Report'!$T56&lt;&gt;"",IF('Student Report'!$T56&gt;=Settings!$B$11,"Mastered",IF('Student Report'!$T56&gt;=Settings!$B$12,"Approaching","Not Yet")),"")),"")</f>
        <v/>
      </c>
      <c r="O66" s="30">
        <f>IFERROR(IF('Student Report'!$AB56&lt;&gt;"",IF('Student Report'!$AB56&gt;=Settings!$B$11,"Mastered",IF('Student Report'!$AB56&gt;=Settings!$B$12,"Approaching","Not Yet")),IF('Student Report'!$U56&lt;&gt;"",IF('Student Report'!$U56&gt;=Settings!$B$11,"Mastered",IF('Student Report'!$U56&gt;=Settings!$B$12,"Approaching","Not Yet")),"")),"")</f>
        <v/>
      </c>
    </row>
    <row r="67">
      <c r="A67" s="30">
        <f>'Student Report'!$A57</f>
        <v/>
      </c>
      <c r="B67" s="56">
        <f>'Student Report'!$B57</f>
        <v/>
      </c>
      <c r="C67" s="30">
        <f>'Student Report'!$C57</f>
        <v/>
      </c>
      <c r="D67" s="30">
        <f>'Student Report'!$G57</f>
        <v/>
      </c>
      <c r="E67" s="30">
        <f>'Student Report'!$I57</f>
        <v/>
      </c>
      <c r="F67" s="57">
        <f>'Student Report'!$AJ57</f>
        <v/>
      </c>
      <c r="G67" s="30">
        <f>'Student Report'!$AK57</f>
        <v/>
      </c>
      <c r="H67" s="30">
        <f>IF($B67="","",COUNTIF(I67:O67,"Not Yet"))</f>
        <v/>
      </c>
      <c r="I67" s="30">
        <f>IFERROR(IF('Student Report'!$V57&lt;&gt;"",IF('Student Report'!$V57&gt;=Settings!$B$11,"Mastered",IF('Student Report'!$V57&gt;=Settings!$B$12,"Approaching","Not Yet")),IF('Student Report'!$O57&lt;&gt;"",IF('Student Report'!$O57&gt;=Settings!$B$11,"Mastered",IF('Student Report'!$O57&gt;=Settings!$B$12,"Approaching","Not Yet")),"")),"")</f>
        <v/>
      </c>
      <c r="J67" s="30">
        <f>IFERROR(IF('Student Report'!$W57&lt;&gt;"",IF('Student Report'!$W57&gt;=Settings!$B$11,"Mastered",IF('Student Report'!$W57&gt;=Settings!$B$12,"Approaching","Not Yet")),IF('Student Report'!$P57&lt;&gt;"",IF('Student Report'!$P57&gt;=Settings!$B$11,"Mastered",IF('Student Report'!$P57&gt;=Settings!$B$12,"Approaching","Not Yet")),"")),"")</f>
        <v/>
      </c>
      <c r="K67" s="30">
        <f>IFERROR(IF('Student Report'!$X57&lt;&gt;"",IF('Student Report'!$X57&gt;=Settings!$B$11,"Mastered",IF('Student Report'!$X57&gt;=Settings!$B$12,"Approaching","Not Yet")),IF('Student Report'!$Q57&lt;&gt;"",IF('Student Report'!$Q57&gt;=Settings!$B$11,"Mastered",IF('Student Report'!$Q57&gt;=Settings!$B$12,"Approaching","Not Yet")),"")),"")</f>
        <v/>
      </c>
      <c r="L67" s="30">
        <f>IFERROR(IF('Student Report'!$Y57&lt;&gt;"",IF('Student Report'!$Y57&gt;=Settings!$B$11,"Mastered",IF('Student Report'!$Y57&gt;=Settings!$B$12,"Approaching","Not Yet")),IF('Student Report'!$R57&lt;&gt;"",IF('Student Report'!$R57&gt;=Settings!$B$11,"Mastered",IF('Student Report'!$R57&gt;=Settings!$B$12,"Approaching","Not Yet")),"")),"")</f>
        <v/>
      </c>
      <c r="M67" s="30">
        <f>IFERROR(IF('Student Report'!$Z57&lt;&gt;"",IF('Student Report'!$Z57&gt;=Settings!$B$11,"Mastered",IF('Student Report'!$Z57&gt;=Settings!$B$12,"Approaching","Not Yet")),IF('Student Report'!$S57&lt;&gt;"",IF('Student Report'!$S57&gt;=Settings!$B$11,"Mastered",IF('Student Report'!$S57&gt;=Settings!$B$12,"Approaching","Not Yet")),"")),"")</f>
        <v/>
      </c>
      <c r="N67" s="30">
        <f>IFERROR(IF('Student Report'!$AA57&lt;&gt;"",IF('Student Report'!$AA57&gt;=Settings!$B$11,"Mastered",IF('Student Report'!$AA57&gt;=Settings!$B$12,"Approaching","Not Yet")),IF('Student Report'!$T57&lt;&gt;"",IF('Student Report'!$T57&gt;=Settings!$B$11,"Mastered",IF('Student Report'!$T57&gt;=Settings!$B$12,"Approaching","Not Yet")),"")),"")</f>
        <v/>
      </c>
      <c r="O67" s="30">
        <f>IFERROR(IF('Student Report'!$AB57&lt;&gt;"",IF('Student Report'!$AB57&gt;=Settings!$B$11,"Mastered",IF('Student Report'!$AB57&gt;=Settings!$B$12,"Approaching","Not Yet")),IF('Student Report'!$U57&lt;&gt;"",IF('Student Report'!$U57&gt;=Settings!$B$11,"Mastered",IF('Student Report'!$U57&gt;=Settings!$B$12,"Approaching","Not Yet")),"")),"")</f>
        <v/>
      </c>
    </row>
    <row r="68">
      <c r="A68" s="30">
        <f>'Student Report'!$A58</f>
        <v/>
      </c>
      <c r="B68" s="56">
        <f>'Student Report'!$B58</f>
        <v/>
      </c>
      <c r="C68" s="30">
        <f>'Student Report'!$C58</f>
        <v/>
      </c>
      <c r="D68" s="30">
        <f>'Student Report'!$G58</f>
        <v/>
      </c>
      <c r="E68" s="30">
        <f>'Student Report'!$I58</f>
        <v/>
      </c>
      <c r="F68" s="57">
        <f>'Student Report'!$AJ58</f>
        <v/>
      </c>
      <c r="G68" s="30">
        <f>'Student Report'!$AK58</f>
        <v/>
      </c>
      <c r="H68" s="30">
        <f>IF($B68="","",COUNTIF(I68:O68,"Not Yet"))</f>
        <v/>
      </c>
      <c r="I68" s="30">
        <f>IFERROR(IF('Student Report'!$V58&lt;&gt;"",IF('Student Report'!$V58&gt;=Settings!$B$11,"Mastered",IF('Student Report'!$V58&gt;=Settings!$B$12,"Approaching","Not Yet")),IF('Student Report'!$O58&lt;&gt;"",IF('Student Report'!$O58&gt;=Settings!$B$11,"Mastered",IF('Student Report'!$O58&gt;=Settings!$B$12,"Approaching","Not Yet")),"")),"")</f>
        <v/>
      </c>
      <c r="J68" s="30">
        <f>IFERROR(IF('Student Report'!$W58&lt;&gt;"",IF('Student Report'!$W58&gt;=Settings!$B$11,"Mastered",IF('Student Report'!$W58&gt;=Settings!$B$12,"Approaching","Not Yet")),IF('Student Report'!$P58&lt;&gt;"",IF('Student Report'!$P58&gt;=Settings!$B$11,"Mastered",IF('Student Report'!$P58&gt;=Settings!$B$12,"Approaching","Not Yet")),"")),"")</f>
        <v/>
      </c>
      <c r="K68" s="30">
        <f>IFERROR(IF('Student Report'!$X58&lt;&gt;"",IF('Student Report'!$X58&gt;=Settings!$B$11,"Mastered",IF('Student Report'!$X58&gt;=Settings!$B$12,"Approaching","Not Yet")),IF('Student Report'!$Q58&lt;&gt;"",IF('Student Report'!$Q58&gt;=Settings!$B$11,"Mastered",IF('Student Report'!$Q58&gt;=Settings!$B$12,"Approaching","Not Yet")),"")),"")</f>
        <v/>
      </c>
      <c r="L68" s="30">
        <f>IFERROR(IF('Student Report'!$Y58&lt;&gt;"",IF('Student Report'!$Y58&gt;=Settings!$B$11,"Mastered",IF('Student Report'!$Y58&gt;=Settings!$B$12,"Approaching","Not Yet")),IF('Student Report'!$R58&lt;&gt;"",IF('Student Report'!$R58&gt;=Settings!$B$11,"Mastered",IF('Student Report'!$R58&gt;=Settings!$B$12,"Approaching","Not Yet")),"")),"")</f>
        <v/>
      </c>
      <c r="M68" s="30">
        <f>IFERROR(IF('Student Report'!$Z58&lt;&gt;"",IF('Student Report'!$Z58&gt;=Settings!$B$11,"Mastered",IF('Student Report'!$Z58&gt;=Settings!$B$12,"Approaching","Not Yet")),IF('Student Report'!$S58&lt;&gt;"",IF('Student Report'!$S58&gt;=Settings!$B$11,"Mastered",IF('Student Report'!$S58&gt;=Settings!$B$12,"Approaching","Not Yet")),"")),"")</f>
        <v/>
      </c>
      <c r="N68" s="30">
        <f>IFERROR(IF('Student Report'!$AA58&lt;&gt;"",IF('Student Report'!$AA58&gt;=Settings!$B$11,"Mastered",IF('Student Report'!$AA58&gt;=Settings!$B$12,"Approaching","Not Yet")),IF('Student Report'!$T58&lt;&gt;"",IF('Student Report'!$T58&gt;=Settings!$B$11,"Mastered",IF('Student Report'!$T58&gt;=Settings!$B$12,"Approaching","Not Yet")),"")),"")</f>
        <v/>
      </c>
      <c r="O68" s="30">
        <f>IFERROR(IF('Student Report'!$AB58&lt;&gt;"",IF('Student Report'!$AB58&gt;=Settings!$B$11,"Mastered",IF('Student Report'!$AB58&gt;=Settings!$B$12,"Approaching","Not Yet")),IF('Student Report'!$U58&lt;&gt;"",IF('Student Report'!$U58&gt;=Settings!$B$11,"Mastered",IF('Student Report'!$U58&gt;=Settings!$B$12,"Approaching","Not Yet")),"")),"")</f>
        <v/>
      </c>
    </row>
    <row r="69">
      <c r="A69" s="30">
        <f>'Student Report'!$A59</f>
        <v/>
      </c>
      <c r="B69" s="56">
        <f>'Student Report'!$B59</f>
        <v/>
      </c>
      <c r="C69" s="30">
        <f>'Student Report'!$C59</f>
        <v/>
      </c>
      <c r="D69" s="30">
        <f>'Student Report'!$G59</f>
        <v/>
      </c>
      <c r="E69" s="30">
        <f>'Student Report'!$I59</f>
        <v/>
      </c>
      <c r="F69" s="57">
        <f>'Student Report'!$AJ59</f>
        <v/>
      </c>
      <c r="G69" s="30">
        <f>'Student Report'!$AK59</f>
        <v/>
      </c>
      <c r="H69" s="30">
        <f>IF($B69="","",COUNTIF(I69:O69,"Not Yet"))</f>
        <v/>
      </c>
      <c r="I69" s="30">
        <f>IFERROR(IF('Student Report'!$V59&lt;&gt;"",IF('Student Report'!$V59&gt;=Settings!$B$11,"Mastered",IF('Student Report'!$V59&gt;=Settings!$B$12,"Approaching","Not Yet")),IF('Student Report'!$O59&lt;&gt;"",IF('Student Report'!$O59&gt;=Settings!$B$11,"Mastered",IF('Student Report'!$O59&gt;=Settings!$B$12,"Approaching","Not Yet")),"")),"")</f>
        <v/>
      </c>
      <c r="J69" s="30">
        <f>IFERROR(IF('Student Report'!$W59&lt;&gt;"",IF('Student Report'!$W59&gt;=Settings!$B$11,"Mastered",IF('Student Report'!$W59&gt;=Settings!$B$12,"Approaching","Not Yet")),IF('Student Report'!$P59&lt;&gt;"",IF('Student Report'!$P59&gt;=Settings!$B$11,"Mastered",IF('Student Report'!$P59&gt;=Settings!$B$12,"Approaching","Not Yet")),"")),"")</f>
        <v/>
      </c>
      <c r="K69" s="30">
        <f>IFERROR(IF('Student Report'!$X59&lt;&gt;"",IF('Student Report'!$X59&gt;=Settings!$B$11,"Mastered",IF('Student Report'!$X59&gt;=Settings!$B$12,"Approaching","Not Yet")),IF('Student Report'!$Q59&lt;&gt;"",IF('Student Report'!$Q59&gt;=Settings!$B$11,"Mastered",IF('Student Report'!$Q59&gt;=Settings!$B$12,"Approaching","Not Yet")),"")),"")</f>
        <v/>
      </c>
      <c r="L69" s="30">
        <f>IFERROR(IF('Student Report'!$Y59&lt;&gt;"",IF('Student Report'!$Y59&gt;=Settings!$B$11,"Mastered",IF('Student Report'!$Y59&gt;=Settings!$B$12,"Approaching","Not Yet")),IF('Student Report'!$R59&lt;&gt;"",IF('Student Report'!$R59&gt;=Settings!$B$11,"Mastered",IF('Student Report'!$R59&gt;=Settings!$B$12,"Approaching","Not Yet")),"")),"")</f>
        <v/>
      </c>
      <c r="M69" s="30">
        <f>IFERROR(IF('Student Report'!$Z59&lt;&gt;"",IF('Student Report'!$Z59&gt;=Settings!$B$11,"Mastered",IF('Student Report'!$Z59&gt;=Settings!$B$12,"Approaching","Not Yet")),IF('Student Report'!$S59&lt;&gt;"",IF('Student Report'!$S59&gt;=Settings!$B$11,"Mastered",IF('Student Report'!$S59&gt;=Settings!$B$12,"Approaching","Not Yet")),"")),"")</f>
        <v/>
      </c>
      <c r="N69" s="30">
        <f>IFERROR(IF('Student Report'!$AA59&lt;&gt;"",IF('Student Report'!$AA59&gt;=Settings!$B$11,"Mastered",IF('Student Report'!$AA59&gt;=Settings!$B$12,"Approaching","Not Yet")),IF('Student Report'!$T59&lt;&gt;"",IF('Student Report'!$T59&gt;=Settings!$B$11,"Mastered",IF('Student Report'!$T59&gt;=Settings!$B$12,"Approaching","Not Yet")),"")),"")</f>
        <v/>
      </c>
      <c r="O69" s="30">
        <f>IFERROR(IF('Student Report'!$AB59&lt;&gt;"",IF('Student Report'!$AB59&gt;=Settings!$B$11,"Mastered",IF('Student Report'!$AB59&gt;=Settings!$B$12,"Approaching","Not Yet")),IF('Student Report'!$U59&lt;&gt;"",IF('Student Report'!$U59&gt;=Settings!$B$11,"Mastered",IF('Student Report'!$U59&gt;=Settings!$B$12,"Approaching","Not Yet")),"")),"")</f>
        <v/>
      </c>
    </row>
    <row r="70">
      <c r="A70" s="30">
        <f>'Student Report'!$A60</f>
        <v/>
      </c>
      <c r="B70" s="56">
        <f>'Student Report'!$B60</f>
        <v/>
      </c>
      <c r="C70" s="30">
        <f>'Student Report'!$C60</f>
        <v/>
      </c>
      <c r="D70" s="30">
        <f>'Student Report'!$G60</f>
        <v/>
      </c>
      <c r="E70" s="30">
        <f>'Student Report'!$I60</f>
        <v/>
      </c>
      <c r="F70" s="57">
        <f>'Student Report'!$AJ60</f>
        <v/>
      </c>
      <c r="G70" s="30">
        <f>'Student Report'!$AK60</f>
        <v/>
      </c>
      <c r="H70" s="30">
        <f>IF($B70="","",COUNTIF(I70:O70,"Not Yet"))</f>
        <v/>
      </c>
      <c r="I70" s="30">
        <f>IFERROR(IF('Student Report'!$V60&lt;&gt;"",IF('Student Report'!$V60&gt;=Settings!$B$11,"Mastered",IF('Student Report'!$V60&gt;=Settings!$B$12,"Approaching","Not Yet")),IF('Student Report'!$O60&lt;&gt;"",IF('Student Report'!$O60&gt;=Settings!$B$11,"Mastered",IF('Student Report'!$O60&gt;=Settings!$B$12,"Approaching","Not Yet")),"")),"")</f>
        <v/>
      </c>
      <c r="J70" s="30">
        <f>IFERROR(IF('Student Report'!$W60&lt;&gt;"",IF('Student Report'!$W60&gt;=Settings!$B$11,"Mastered",IF('Student Report'!$W60&gt;=Settings!$B$12,"Approaching","Not Yet")),IF('Student Report'!$P60&lt;&gt;"",IF('Student Report'!$P60&gt;=Settings!$B$11,"Mastered",IF('Student Report'!$P60&gt;=Settings!$B$12,"Approaching","Not Yet")),"")),"")</f>
        <v/>
      </c>
      <c r="K70" s="30">
        <f>IFERROR(IF('Student Report'!$X60&lt;&gt;"",IF('Student Report'!$X60&gt;=Settings!$B$11,"Mastered",IF('Student Report'!$X60&gt;=Settings!$B$12,"Approaching","Not Yet")),IF('Student Report'!$Q60&lt;&gt;"",IF('Student Report'!$Q60&gt;=Settings!$B$11,"Mastered",IF('Student Report'!$Q60&gt;=Settings!$B$12,"Approaching","Not Yet")),"")),"")</f>
        <v/>
      </c>
      <c r="L70" s="30">
        <f>IFERROR(IF('Student Report'!$Y60&lt;&gt;"",IF('Student Report'!$Y60&gt;=Settings!$B$11,"Mastered",IF('Student Report'!$Y60&gt;=Settings!$B$12,"Approaching","Not Yet")),IF('Student Report'!$R60&lt;&gt;"",IF('Student Report'!$R60&gt;=Settings!$B$11,"Mastered",IF('Student Report'!$R60&gt;=Settings!$B$12,"Approaching","Not Yet")),"")),"")</f>
        <v/>
      </c>
      <c r="M70" s="30">
        <f>IFERROR(IF('Student Report'!$Z60&lt;&gt;"",IF('Student Report'!$Z60&gt;=Settings!$B$11,"Mastered",IF('Student Report'!$Z60&gt;=Settings!$B$12,"Approaching","Not Yet")),IF('Student Report'!$S60&lt;&gt;"",IF('Student Report'!$S60&gt;=Settings!$B$11,"Mastered",IF('Student Report'!$S60&gt;=Settings!$B$12,"Approaching","Not Yet")),"")),"")</f>
        <v/>
      </c>
      <c r="N70" s="30">
        <f>IFERROR(IF('Student Report'!$AA60&lt;&gt;"",IF('Student Report'!$AA60&gt;=Settings!$B$11,"Mastered",IF('Student Report'!$AA60&gt;=Settings!$B$12,"Approaching","Not Yet")),IF('Student Report'!$T60&lt;&gt;"",IF('Student Report'!$T60&gt;=Settings!$B$11,"Mastered",IF('Student Report'!$T60&gt;=Settings!$B$12,"Approaching","Not Yet")),"")),"")</f>
        <v/>
      </c>
      <c r="O70" s="30">
        <f>IFERROR(IF('Student Report'!$AB60&lt;&gt;"",IF('Student Report'!$AB60&gt;=Settings!$B$11,"Mastered",IF('Student Report'!$AB60&gt;=Settings!$B$12,"Approaching","Not Yet")),IF('Student Report'!$U60&lt;&gt;"",IF('Student Report'!$U60&gt;=Settings!$B$11,"Mastered",IF('Student Report'!$U60&gt;=Settings!$B$12,"Approaching","Not Yet")),"")),"")</f>
        <v/>
      </c>
    </row>
    <row r="71">
      <c r="A71" s="30">
        <f>'Student Report'!$A61</f>
        <v/>
      </c>
      <c r="B71" s="56">
        <f>'Student Report'!$B61</f>
        <v/>
      </c>
      <c r="C71" s="30">
        <f>'Student Report'!$C61</f>
        <v/>
      </c>
      <c r="D71" s="30">
        <f>'Student Report'!$G61</f>
        <v/>
      </c>
      <c r="E71" s="30">
        <f>'Student Report'!$I61</f>
        <v/>
      </c>
      <c r="F71" s="57">
        <f>'Student Report'!$AJ61</f>
        <v/>
      </c>
      <c r="G71" s="30">
        <f>'Student Report'!$AK61</f>
        <v/>
      </c>
      <c r="H71" s="30">
        <f>IF($B71="","",COUNTIF(I71:O71,"Not Yet"))</f>
        <v/>
      </c>
      <c r="I71" s="30">
        <f>IFERROR(IF('Student Report'!$V61&lt;&gt;"",IF('Student Report'!$V61&gt;=Settings!$B$11,"Mastered",IF('Student Report'!$V61&gt;=Settings!$B$12,"Approaching","Not Yet")),IF('Student Report'!$O61&lt;&gt;"",IF('Student Report'!$O61&gt;=Settings!$B$11,"Mastered",IF('Student Report'!$O61&gt;=Settings!$B$12,"Approaching","Not Yet")),"")),"")</f>
        <v/>
      </c>
      <c r="J71" s="30">
        <f>IFERROR(IF('Student Report'!$W61&lt;&gt;"",IF('Student Report'!$W61&gt;=Settings!$B$11,"Mastered",IF('Student Report'!$W61&gt;=Settings!$B$12,"Approaching","Not Yet")),IF('Student Report'!$P61&lt;&gt;"",IF('Student Report'!$P61&gt;=Settings!$B$11,"Mastered",IF('Student Report'!$P61&gt;=Settings!$B$12,"Approaching","Not Yet")),"")),"")</f>
        <v/>
      </c>
      <c r="K71" s="30">
        <f>IFERROR(IF('Student Report'!$X61&lt;&gt;"",IF('Student Report'!$X61&gt;=Settings!$B$11,"Mastered",IF('Student Report'!$X61&gt;=Settings!$B$12,"Approaching","Not Yet")),IF('Student Report'!$Q61&lt;&gt;"",IF('Student Report'!$Q61&gt;=Settings!$B$11,"Mastered",IF('Student Report'!$Q61&gt;=Settings!$B$12,"Approaching","Not Yet")),"")),"")</f>
        <v/>
      </c>
      <c r="L71" s="30">
        <f>IFERROR(IF('Student Report'!$Y61&lt;&gt;"",IF('Student Report'!$Y61&gt;=Settings!$B$11,"Mastered",IF('Student Report'!$Y61&gt;=Settings!$B$12,"Approaching","Not Yet")),IF('Student Report'!$R61&lt;&gt;"",IF('Student Report'!$R61&gt;=Settings!$B$11,"Mastered",IF('Student Report'!$R61&gt;=Settings!$B$12,"Approaching","Not Yet")),"")),"")</f>
        <v/>
      </c>
      <c r="M71" s="30">
        <f>IFERROR(IF('Student Report'!$Z61&lt;&gt;"",IF('Student Report'!$Z61&gt;=Settings!$B$11,"Mastered",IF('Student Report'!$Z61&gt;=Settings!$B$12,"Approaching","Not Yet")),IF('Student Report'!$S61&lt;&gt;"",IF('Student Report'!$S61&gt;=Settings!$B$11,"Mastered",IF('Student Report'!$S61&gt;=Settings!$B$12,"Approaching","Not Yet")),"")),"")</f>
        <v/>
      </c>
      <c r="N71" s="30">
        <f>IFERROR(IF('Student Report'!$AA61&lt;&gt;"",IF('Student Report'!$AA61&gt;=Settings!$B$11,"Mastered",IF('Student Report'!$AA61&gt;=Settings!$B$12,"Approaching","Not Yet")),IF('Student Report'!$T61&lt;&gt;"",IF('Student Report'!$T61&gt;=Settings!$B$11,"Mastered",IF('Student Report'!$T61&gt;=Settings!$B$12,"Approaching","Not Yet")),"")),"")</f>
        <v/>
      </c>
      <c r="O71" s="30">
        <f>IFERROR(IF('Student Report'!$AB61&lt;&gt;"",IF('Student Report'!$AB61&gt;=Settings!$B$11,"Mastered",IF('Student Report'!$AB61&gt;=Settings!$B$12,"Approaching","Not Yet")),IF('Student Report'!$U61&lt;&gt;"",IF('Student Report'!$U61&gt;=Settings!$B$11,"Mastered",IF('Student Report'!$U61&gt;=Settings!$B$12,"Approaching","Not Yet")),"")),"")</f>
        <v/>
      </c>
    </row>
    <row r="72">
      <c r="A72" s="30">
        <f>'Student Report'!$A62</f>
        <v/>
      </c>
      <c r="B72" s="56">
        <f>'Student Report'!$B62</f>
        <v/>
      </c>
      <c r="C72" s="30">
        <f>'Student Report'!$C62</f>
        <v/>
      </c>
      <c r="D72" s="30">
        <f>'Student Report'!$G62</f>
        <v/>
      </c>
      <c r="E72" s="30">
        <f>'Student Report'!$I62</f>
        <v/>
      </c>
      <c r="F72" s="57">
        <f>'Student Report'!$AJ62</f>
        <v/>
      </c>
      <c r="G72" s="30">
        <f>'Student Report'!$AK62</f>
        <v/>
      </c>
      <c r="H72" s="30">
        <f>IF($B72="","",COUNTIF(I72:O72,"Not Yet"))</f>
        <v/>
      </c>
      <c r="I72" s="30">
        <f>IFERROR(IF('Student Report'!$V62&lt;&gt;"",IF('Student Report'!$V62&gt;=Settings!$B$11,"Mastered",IF('Student Report'!$V62&gt;=Settings!$B$12,"Approaching","Not Yet")),IF('Student Report'!$O62&lt;&gt;"",IF('Student Report'!$O62&gt;=Settings!$B$11,"Mastered",IF('Student Report'!$O62&gt;=Settings!$B$12,"Approaching","Not Yet")),"")),"")</f>
        <v/>
      </c>
      <c r="J72" s="30">
        <f>IFERROR(IF('Student Report'!$W62&lt;&gt;"",IF('Student Report'!$W62&gt;=Settings!$B$11,"Mastered",IF('Student Report'!$W62&gt;=Settings!$B$12,"Approaching","Not Yet")),IF('Student Report'!$P62&lt;&gt;"",IF('Student Report'!$P62&gt;=Settings!$B$11,"Mastered",IF('Student Report'!$P62&gt;=Settings!$B$12,"Approaching","Not Yet")),"")),"")</f>
        <v/>
      </c>
      <c r="K72" s="30">
        <f>IFERROR(IF('Student Report'!$X62&lt;&gt;"",IF('Student Report'!$X62&gt;=Settings!$B$11,"Mastered",IF('Student Report'!$X62&gt;=Settings!$B$12,"Approaching","Not Yet")),IF('Student Report'!$Q62&lt;&gt;"",IF('Student Report'!$Q62&gt;=Settings!$B$11,"Mastered",IF('Student Report'!$Q62&gt;=Settings!$B$12,"Approaching","Not Yet")),"")),"")</f>
        <v/>
      </c>
      <c r="L72" s="30">
        <f>IFERROR(IF('Student Report'!$Y62&lt;&gt;"",IF('Student Report'!$Y62&gt;=Settings!$B$11,"Mastered",IF('Student Report'!$Y62&gt;=Settings!$B$12,"Approaching","Not Yet")),IF('Student Report'!$R62&lt;&gt;"",IF('Student Report'!$R62&gt;=Settings!$B$11,"Mastered",IF('Student Report'!$R62&gt;=Settings!$B$12,"Approaching","Not Yet")),"")),"")</f>
        <v/>
      </c>
      <c r="M72" s="30">
        <f>IFERROR(IF('Student Report'!$Z62&lt;&gt;"",IF('Student Report'!$Z62&gt;=Settings!$B$11,"Mastered",IF('Student Report'!$Z62&gt;=Settings!$B$12,"Approaching","Not Yet")),IF('Student Report'!$S62&lt;&gt;"",IF('Student Report'!$S62&gt;=Settings!$B$11,"Mastered",IF('Student Report'!$S62&gt;=Settings!$B$12,"Approaching","Not Yet")),"")),"")</f>
        <v/>
      </c>
      <c r="N72" s="30">
        <f>IFERROR(IF('Student Report'!$AA62&lt;&gt;"",IF('Student Report'!$AA62&gt;=Settings!$B$11,"Mastered",IF('Student Report'!$AA62&gt;=Settings!$B$12,"Approaching","Not Yet")),IF('Student Report'!$T62&lt;&gt;"",IF('Student Report'!$T62&gt;=Settings!$B$11,"Mastered",IF('Student Report'!$T62&gt;=Settings!$B$12,"Approaching","Not Yet")),"")),"")</f>
        <v/>
      </c>
      <c r="O72" s="30">
        <f>IFERROR(IF('Student Report'!$AB62&lt;&gt;"",IF('Student Report'!$AB62&gt;=Settings!$B$11,"Mastered",IF('Student Report'!$AB62&gt;=Settings!$B$12,"Approaching","Not Yet")),IF('Student Report'!$U62&lt;&gt;"",IF('Student Report'!$U62&gt;=Settings!$B$11,"Mastered",IF('Student Report'!$U62&gt;=Settings!$B$12,"Approaching","Not Yet")),"")),"")</f>
        <v/>
      </c>
    </row>
    <row r="73">
      <c r="A73" s="30">
        <f>'Student Report'!$A63</f>
        <v/>
      </c>
      <c r="B73" s="56">
        <f>'Student Report'!$B63</f>
        <v/>
      </c>
      <c r="C73" s="30">
        <f>'Student Report'!$C63</f>
        <v/>
      </c>
      <c r="D73" s="30">
        <f>'Student Report'!$G63</f>
        <v/>
      </c>
      <c r="E73" s="30">
        <f>'Student Report'!$I63</f>
        <v/>
      </c>
      <c r="F73" s="57">
        <f>'Student Report'!$AJ63</f>
        <v/>
      </c>
      <c r="G73" s="30">
        <f>'Student Report'!$AK63</f>
        <v/>
      </c>
      <c r="H73" s="30">
        <f>IF($B73="","",COUNTIF(I73:O73,"Not Yet"))</f>
        <v/>
      </c>
      <c r="I73" s="30">
        <f>IFERROR(IF('Student Report'!$V63&lt;&gt;"",IF('Student Report'!$V63&gt;=Settings!$B$11,"Mastered",IF('Student Report'!$V63&gt;=Settings!$B$12,"Approaching","Not Yet")),IF('Student Report'!$O63&lt;&gt;"",IF('Student Report'!$O63&gt;=Settings!$B$11,"Mastered",IF('Student Report'!$O63&gt;=Settings!$B$12,"Approaching","Not Yet")),"")),"")</f>
        <v/>
      </c>
      <c r="J73" s="30">
        <f>IFERROR(IF('Student Report'!$W63&lt;&gt;"",IF('Student Report'!$W63&gt;=Settings!$B$11,"Mastered",IF('Student Report'!$W63&gt;=Settings!$B$12,"Approaching","Not Yet")),IF('Student Report'!$P63&lt;&gt;"",IF('Student Report'!$P63&gt;=Settings!$B$11,"Mastered",IF('Student Report'!$P63&gt;=Settings!$B$12,"Approaching","Not Yet")),"")),"")</f>
        <v/>
      </c>
      <c r="K73" s="30">
        <f>IFERROR(IF('Student Report'!$X63&lt;&gt;"",IF('Student Report'!$X63&gt;=Settings!$B$11,"Mastered",IF('Student Report'!$X63&gt;=Settings!$B$12,"Approaching","Not Yet")),IF('Student Report'!$Q63&lt;&gt;"",IF('Student Report'!$Q63&gt;=Settings!$B$11,"Mastered",IF('Student Report'!$Q63&gt;=Settings!$B$12,"Approaching","Not Yet")),"")),"")</f>
        <v/>
      </c>
      <c r="L73" s="30">
        <f>IFERROR(IF('Student Report'!$Y63&lt;&gt;"",IF('Student Report'!$Y63&gt;=Settings!$B$11,"Mastered",IF('Student Report'!$Y63&gt;=Settings!$B$12,"Approaching","Not Yet")),IF('Student Report'!$R63&lt;&gt;"",IF('Student Report'!$R63&gt;=Settings!$B$11,"Mastered",IF('Student Report'!$R63&gt;=Settings!$B$12,"Approaching","Not Yet")),"")),"")</f>
        <v/>
      </c>
      <c r="M73" s="30">
        <f>IFERROR(IF('Student Report'!$Z63&lt;&gt;"",IF('Student Report'!$Z63&gt;=Settings!$B$11,"Mastered",IF('Student Report'!$Z63&gt;=Settings!$B$12,"Approaching","Not Yet")),IF('Student Report'!$S63&lt;&gt;"",IF('Student Report'!$S63&gt;=Settings!$B$11,"Mastered",IF('Student Report'!$S63&gt;=Settings!$B$12,"Approaching","Not Yet")),"")),"")</f>
        <v/>
      </c>
      <c r="N73" s="30">
        <f>IFERROR(IF('Student Report'!$AA63&lt;&gt;"",IF('Student Report'!$AA63&gt;=Settings!$B$11,"Mastered",IF('Student Report'!$AA63&gt;=Settings!$B$12,"Approaching","Not Yet")),IF('Student Report'!$T63&lt;&gt;"",IF('Student Report'!$T63&gt;=Settings!$B$11,"Mastered",IF('Student Report'!$T63&gt;=Settings!$B$12,"Approaching","Not Yet")),"")),"")</f>
        <v/>
      </c>
      <c r="O73" s="30">
        <f>IFERROR(IF('Student Report'!$AB63&lt;&gt;"",IF('Student Report'!$AB63&gt;=Settings!$B$11,"Mastered",IF('Student Report'!$AB63&gt;=Settings!$B$12,"Approaching","Not Yet")),IF('Student Report'!$U63&lt;&gt;"",IF('Student Report'!$U63&gt;=Settings!$B$11,"Mastered",IF('Student Report'!$U63&gt;=Settings!$B$12,"Approaching","Not Yet")),"")),"")</f>
        <v/>
      </c>
    </row>
    <row r="74">
      <c r="A74" s="30">
        <f>'Student Report'!$A64</f>
        <v/>
      </c>
      <c r="B74" s="56">
        <f>'Student Report'!$B64</f>
        <v/>
      </c>
      <c r="C74" s="30">
        <f>'Student Report'!$C64</f>
        <v/>
      </c>
      <c r="D74" s="30">
        <f>'Student Report'!$G64</f>
        <v/>
      </c>
      <c r="E74" s="30">
        <f>'Student Report'!$I64</f>
        <v/>
      </c>
      <c r="F74" s="57">
        <f>'Student Report'!$AJ64</f>
        <v/>
      </c>
      <c r="G74" s="30">
        <f>'Student Report'!$AK64</f>
        <v/>
      </c>
      <c r="H74" s="30">
        <f>IF($B74="","",COUNTIF(I74:O74,"Not Yet"))</f>
        <v/>
      </c>
      <c r="I74" s="30">
        <f>IFERROR(IF('Student Report'!$V64&lt;&gt;"",IF('Student Report'!$V64&gt;=Settings!$B$11,"Mastered",IF('Student Report'!$V64&gt;=Settings!$B$12,"Approaching","Not Yet")),IF('Student Report'!$O64&lt;&gt;"",IF('Student Report'!$O64&gt;=Settings!$B$11,"Mastered",IF('Student Report'!$O64&gt;=Settings!$B$12,"Approaching","Not Yet")),"")),"")</f>
        <v/>
      </c>
      <c r="J74" s="30">
        <f>IFERROR(IF('Student Report'!$W64&lt;&gt;"",IF('Student Report'!$W64&gt;=Settings!$B$11,"Mastered",IF('Student Report'!$W64&gt;=Settings!$B$12,"Approaching","Not Yet")),IF('Student Report'!$P64&lt;&gt;"",IF('Student Report'!$P64&gt;=Settings!$B$11,"Mastered",IF('Student Report'!$P64&gt;=Settings!$B$12,"Approaching","Not Yet")),"")),"")</f>
        <v/>
      </c>
      <c r="K74" s="30">
        <f>IFERROR(IF('Student Report'!$X64&lt;&gt;"",IF('Student Report'!$X64&gt;=Settings!$B$11,"Mastered",IF('Student Report'!$X64&gt;=Settings!$B$12,"Approaching","Not Yet")),IF('Student Report'!$Q64&lt;&gt;"",IF('Student Report'!$Q64&gt;=Settings!$B$11,"Mastered",IF('Student Report'!$Q64&gt;=Settings!$B$12,"Approaching","Not Yet")),"")),"")</f>
        <v/>
      </c>
      <c r="L74" s="30">
        <f>IFERROR(IF('Student Report'!$Y64&lt;&gt;"",IF('Student Report'!$Y64&gt;=Settings!$B$11,"Mastered",IF('Student Report'!$Y64&gt;=Settings!$B$12,"Approaching","Not Yet")),IF('Student Report'!$R64&lt;&gt;"",IF('Student Report'!$R64&gt;=Settings!$B$11,"Mastered",IF('Student Report'!$R64&gt;=Settings!$B$12,"Approaching","Not Yet")),"")),"")</f>
        <v/>
      </c>
      <c r="M74" s="30">
        <f>IFERROR(IF('Student Report'!$Z64&lt;&gt;"",IF('Student Report'!$Z64&gt;=Settings!$B$11,"Mastered",IF('Student Report'!$Z64&gt;=Settings!$B$12,"Approaching","Not Yet")),IF('Student Report'!$S64&lt;&gt;"",IF('Student Report'!$S64&gt;=Settings!$B$11,"Mastered",IF('Student Report'!$S64&gt;=Settings!$B$12,"Approaching","Not Yet")),"")),"")</f>
        <v/>
      </c>
      <c r="N74" s="30">
        <f>IFERROR(IF('Student Report'!$AA64&lt;&gt;"",IF('Student Report'!$AA64&gt;=Settings!$B$11,"Mastered",IF('Student Report'!$AA64&gt;=Settings!$B$12,"Approaching","Not Yet")),IF('Student Report'!$T64&lt;&gt;"",IF('Student Report'!$T64&gt;=Settings!$B$11,"Mastered",IF('Student Report'!$T64&gt;=Settings!$B$12,"Approaching","Not Yet")),"")),"")</f>
        <v/>
      </c>
      <c r="O74" s="30">
        <f>IFERROR(IF('Student Report'!$AB64&lt;&gt;"",IF('Student Report'!$AB64&gt;=Settings!$B$11,"Mastered",IF('Student Report'!$AB64&gt;=Settings!$B$12,"Approaching","Not Yet")),IF('Student Report'!$U64&lt;&gt;"",IF('Student Report'!$U64&gt;=Settings!$B$11,"Mastered",IF('Student Report'!$U64&gt;=Settings!$B$12,"Approaching","Not Yet")),"")),"")</f>
        <v/>
      </c>
    </row>
    <row r="75">
      <c r="A75" s="30">
        <f>'Student Report'!$A65</f>
        <v/>
      </c>
      <c r="B75" s="56">
        <f>'Student Report'!$B65</f>
        <v/>
      </c>
      <c r="C75" s="30">
        <f>'Student Report'!$C65</f>
        <v/>
      </c>
      <c r="D75" s="30">
        <f>'Student Report'!$G65</f>
        <v/>
      </c>
      <c r="E75" s="30">
        <f>'Student Report'!$I65</f>
        <v/>
      </c>
      <c r="F75" s="57">
        <f>'Student Report'!$AJ65</f>
        <v/>
      </c>
      <c r="G75" s="30">
        <f>'Student Report'!$AK65</f>
        <v/>
      </c>
      <c r="H75" s="30">
        <f>IF($B75="","",COUNTIF(I75:O75,"Not Yet"))</f>
        <v/>
      </c>
      <c r="I75" s="30">
        <f>IFERROR(IF('Student Report'!$V65&lt;&gt;"",IF('Student Report'!$V65&gt;=Settings!$B$11,"Mastered",IF('Student Report'!$V65&gt;=Settings!$B$12,"Approaching","Not Yet")),IF('Student Report'!$O65&lt;&gt;"",IF('Student Report'!$O65&gt;=Settings!$B$11,"Mastered",IF('Student Report'!$O65&gt;=Settings!$B$12,"Approaching","Not Yet")),"")),"")</f>
        <v/>
      </c>
      <c r="J75" s="30">
        <f>IFERROR(IF('Student Report'!$W65&lt;&gt;"",IF('Student Report'!$W65&gt;=Settings!$B$11,"Mastered",IF('Student Report'!$W65&gt;=Settings!$B$12,"Approaching","Not Yet")),IF('Student Report'!$P65&lt;&gt;"",IF('Student Report'!$P65&gt;=Settings!$B$11,"Mastered",IF('Student Report'!$P65&gt;=Settings!$B$12,"Approaching","Not Yet")),"")),"")</f>
        <v/>
      </c>
      <c r="K75" s="30">
        <f>IFERROR(IF('Student Report'!$X65&lt;&gt;"",IF('Student Report'!$X65&gt;=Settings!$B$11,"Mastered",IF('Student Report'!$X65&gt;=Settings!$B$12,"Approaching","Not Yet")),IF('Student Report'!$Q65&lt;&gt;"",IF('Student Report'!$Q65&gt;=Settings!$B$11,"Mastered",IF('Student Report'!$Q65&gt;=Settings!$B$12,"Approaching","Not Yet")),"")),"")</f>
        <v/>
      </c>
      <c r="L75" s="30">
        <f>IFERROR(IF('Student Report'!$Y65&lt;&gt;"",IF('Student Report'!$Y65&gt;=Settings!$B$11,"Mastered",IF('Student Report'!$Y65&gt;=Settings!$B$12,"Approaching","Not Yet")),IF('Student Report'!$R65&lt;&gt;"",IF('Student Report'!$R65&gt;=Settings!$B$11,"Mastered",IF('Student Report'!$R65&gt;=Settings!$B$12,"Approaching","Not Yet")),"")),"")</f>
        <v/>
      </c>
      <c r="M75" s="30">
        <f>IFERROR(IF('Student Report'!$Z65&lt;&gt;"",IF('Student Report'!$Z65&gt;=Settings!$B$11,"Mastered",IF('Student Report'!$Z65&gt;=Settings!$B$12,"Approaching","Not Yet")),IF('Student Report'!$S65&lt;&gt;"",IF('Student Report'!$S65&gt;=Settings!$B$11,"Mastered",IF('Student Report'!$S65&gt;=Settings!$B$12,"Approaching","Not Yet")),"")),"")</f>
        <v/>
      </c>
      <c r="N75" s="30">
        <f>IFERROR(IF('Student Report'!$AA65&lt;&gt;"",IF('Student Report'!$AA65&gt;=Settings!$B$11,"Mastered",IF('Student Report'!$AA65&gt;=Settings!$B$12,"Approaching","Not Yet")),IF('Student Report'!$T65&lt;&gt;"",IF('Student Report'!$T65&gt;=Settings!$B$11,"Mastered",IF('Student Report'!$T65&gt;=Settings!$B$12,"Approaching","Not Yet")),"")),"")</f>
        <v/>
      </c>
      <c r="O75" s="30">
        <f>IFERROR(IF('Student Report'!$AB65&lt;&gt;"",IF('Student Report'!$AB65&gt;=Settings!$B$11,"Mastered",IF('Student Report'!$AB65&gt;=Settings!$B$12,"Approaching","Not Yet")),IF('Student Report'!$U65&lt;&gt;"",IF('Student Report'!$U65&gt;=Settings!$B$11,"Mastered",IF('Student Report'!$U65&gt;=Settings!$B$12,"Approaching","Not Yet")),"")),"")</f>
        <v/>
      </c>
    </row>
    <row r="76">
      <c r="A76" s="30">
        <f>'Student Report'!$A66</f>
        <v/>
      </c>
      <c r="B76" s="56">
        <f>'Student Report'!$B66</f>
        <v/>
      </c>
      <c r="C76" s="30">
        <f>'Student Report'!$C66</f>
        <v/>
      </c>
      <c r="D76" s="30">
        <f>'Student Report'!$G66</f>
        <v/>
      </c>
      <c r="E76" s="30">
        <f>'Student Report'!$I66</f>
        <v/>
      </c>
      <c r="F76" s="57">
        <f>'Student Report'!$AJ66</f>
        <v/>
      </c>
      <c r="G76" s="30">
        <f>'Student Report'!$AK66</f>
        <v/>
      </c>
      <c r="H76" s="30">
        <f>IF($B76="","",COUNTIF(I76:O76,"Not Yet"))</f>
        <v/>
      </c>
      <c r="I76" s="30">
        <f>IFERROR(IF('Student Report'!$V66&lt;&gt;"",IF('Student Report'!$V66&gt;=Settings!$B$11,"Mastered",IF('Student Report'!$V66&gt;=Settings!$B$12,"Approaching","Not Yet")),IF('Student Report'!$O66&lt;&gt;"",IF('Student Report'!$O66&gt;=Settings!$B$11,"Mastered",IF('Student Report'!$O66&gt;=Settings!$B$12,"Approaching","Not Yet")),"")),"")</f>
        <v/>
      </c>
      <c r="J76" s="30">
        <f>IFERROR(IF('Student Report'!$W66&lt;&gt;"",IF('Student Report'!$W66&gt;=Settings!$B$11,"Mastered",IF('Student Report'!$W66&gt;=Settings!$B$12,"Approaching","Not Yet")),IF('Student Report'!$P66&lt;&gt;"",IF('Student Report'!$P66&gt;=Settings!$B$11,"Mastered",IF('Student Report'!$P66&gt;=Settings!$B$12,"Approaching","Not Yet")),"")),"")</f>
        <v/>
      </c>
      <c r="K76" s="30">
        <f>IFERROR(IF('Student Report'!$X66&lt;&gt;"",IF('Student Report'!$X66&gt;=Settings!$B$11,"Mastered",IF('Student Report'!$X66&gt;=Settings!$B$12,"Approaching","Not Yet")),IF('Student Report'!$Q66&lt;&gt;"",IF('Student Report'!$Q66&gt;=Settings!$B$11,"Mastered",IF('Student Report'!$Q66&gt;=Settings!$B$12,"Approaching","Not Yet")),"")),"")</f>
        <v/>
      </c>
      <c r="L76" s="30">
        <f>IFERROR(IF('Student Report'!$Y66&lt;&gt;"",IF('Student Report'!$Y66&gt;=Settings!$B$11,"Mastered",IF('Student Report'!$Y66&gt;=Settings!$B$12,"Approaching","Not Yet")),IF('Student Report'!$R66&lt;&gt;"",IF('Student Report'!$R66&gt;=Settings!$B$11,"Mastered",IF('Student Report'!$R66&gt;=Settings!$B$12,"Approaching","Not Yet")),"")),"")</f>
        <v/>
      </c>
      <c r="M76" s="30">
        <f>IFERROR(IF('Student Report'!$Z66&lt;&gt;"",IF('Student Report'!$Z66&gt;=Settings!$B$11,"Mastered",IF('Student Report'!$Z66&gt;=Settings!$B$12,"Approaching","Not Yet")),IF('Student Report'!$S66&lt;&gt;"",IF('Student Report'!$S66&gt;=Settings!$B$11,"Mastered",IF('Student Report'!$S66&gt;=Settings!$B$12,"Approaching","Not Yet")),"")),"")</f>
        <v/>
      </c>
      <c r="N76" s="30">
        <f>IFERROR(IF('Student Report'!$AA66&lt;&gt;"",IF('Student Report'!$AA66&gt;=Settings!$B$11,"Mastered",IF('Student Report'!$AA66&gt;=Settings!$B$12,"Approaching","Not Yet")),IF('Student Report'!$T66&lt;&gt;"",IF('Student Report'!$T66&gt;=Settings!$B$11,"Mastered",IF('Student Report'!$T66&gt;=Settings!$B$12,"Approaching","Not Yet")),"")),"")</f>
        <v/>
      </c>
      <c r="O76" s="30">
        <f>IFERROR(IF('Student Report'!$AB66&lt;&gt;"",IF('Student Report'!$AB66&gt;=Settings!$B$11,"Mastered",IF('Student Report'!$AB66&gt;=Settings!$B$12,"Approaching","Not Yet")),IF('Student Report'!$U66&lt;&gt;"",IF('Student Report'!$U66&gt;=Settings!$B$11,"Mastered",IF('Student Report'!$U66&gt;=Settings!$B$12,"Approaching","Not Yet")),"")),"")</f>
        <v/>
      </c>
    </row>
    <row r="77">
      <c r="A77" s="30">
        <f>'Student Report'!$A67</f>
        <v/>
      </c>
      <c r="B77" s="56">
        <f>'Student Report'!$B67</f>
        <v/>
      </c>
      <c r="C77" s="30">
        <f>'Student Report'!$C67</f>
        <v/>
      </c>
      <c r="D77" s="30">
        <f>'Student Report'!$G67</f>
        <v/>
      </c>
      <c r="E77" s="30">
        <f>'Student Report'!$I67</f>
        <v/>
      </c>
      <c r="F77" s="57">
        <f>'Student Report'!$AJ67</f>
        <v/>
      </c>
      <c r="G77" s="30">
        <f>'Student Report'!$AK67</f>
        <v/>
      </c>
      <c r="H77" s="30">
        <f>IF($B77="","",COUNTIF(I77:O77,"Not Yet"))</f>
        <v/>
      </c>
      <c r="I77" s="30">
        <f>IFERROR(IF('Student Report'!$V67&lt;&gt;"",IF('Student Report'!$V67&gt;=Settings!$B$11,"Mastered",IF('Student Report'!$V67&gt;=Settings!$B$12,"Approaching","Not Yet")),IF('Student Report'!$O67&lt;&gt;"",IF('Student Report'!$O67&gt;=Settings!$B$11,"Mastered",IF('Student Report'!$O67&gt;=Settings!$B$12,"Approaching","Not Yet")),"")),"")</f>
        <v/>
      </c>
      <c r="J77" s="30">
        <f>IFERROR(IF('Student Report'!$W67&lt;&gt;"",IF('Student Report'!$W67&gt;=Settings!$B$11,"Mastered",IF('Student Report'!$W67&gt;=Settings!$B$12,"Approaching","Not Yet")),IF('Student Report'!$P67&lt;&gt;"",IF('Student Report'!$P67&gt;=Settings!$B$11,"Mastered",IF('Student Report'!$P67&gt;=Settings!$B$12,"Approaching","Not Yet")),"")),"")</f>
        <v/>
      </c>
      <c r="K77" s="30">
        <f>IFERROR(IF('Student Report'!$X67&lt;&gt;"",IF('Student Report'!$X67&gt;=Settings!$B$11,"Mastered",IF('Student Report'!$X67&gt;=Settings!$B$12,"Approaching","Not Yet")),IF('Student Report'!$Q67&lt;&gt;"",IF('Student Report'!$Q67&gt;=Settings!$B$11,"Mastered",IF('Student Report'!$Q67&gt;=Settings!$B$12,"Approaching","Not Yet")),"")),"")</f>
        <v/>
      </c>
      <c r="L77" s="30">
        <f>IFERROR(IF('Student Report'!$Y67&lt;&gt;"",IF('Student Report'!$Y67&gt;=Settings!$B$11,"Mastered",IF('Student Report'!$Y67&gt;=Settings!$B$12,"Approaching","Not Yet")),IF('Student Report'!$R67&lt;&gt;"",IF('Student Report'!$R67&gt;=Settings!$B$11,"Mastered",IF('Student Report'!$R67&gt;=Settings!$B$12,"Approaching","Not Yet")),"")),"")</f>
        <v/>
      </c>
      <c r="M77" s="30">
        <f>IFERROR(IF('Student Report'!$Z67&lt;&gt;"",IF('Student Report'!$Z67&gt;=Settings!$B$11,"Mastered",IF('Student Report'!$Z67&gt;=Settings!$B$12,"Approaching","Not Yet")),IF('Student Report'!$S67&lt;&gt;"",IF('Student Report'!$S67&gt;=Settings!$B$11,"Mastered",IF('Student Report'!$S67&gt;=Settings!$B$12,"Approaching","Not Yet")),"")),"")</f>
        <v/>
      </c>
      <c r="N77" s="30">
        <f>IFERROR(IF('Student Report'!$AA67&lt;&gt;"",IF('Student Report'!$AA67&gt;=Settings!$B$11,"Mastered",IF('Student Report'!$AA67&gt;=Settings!$B$12,"Approaching","Not Yet")),IF('Student Report'!$T67&lt;&gt;"",IF('Student Report'!$T67&gt;=Settings!$B$11,"Mastered",IF('Student Report'!$T67&gt;=Settings!$B$12,"Approaching","Not Yet")),"")),"")</f>
        <v/>
      </c>
      <c r="O77" s="30">
        <f>IFERROR(IF('Student Report'!$AB67&lt;&gt;"",IF('Student Report'!$AB67&gt;=Settings!$B$11,"Mastered",IF('Student Report'!$AB67&gt;=Settings!$B$12,"Approaching","Not Yet")),IF('Student Report'!$U67&lt;&gt;"",IF('Student Report'!$U67&gt;=Settings!$B$11,"Mastered",IF('Student Report'!$U67&gt;=Settings!$B$12,"Approaching","Not Yet")),"")),"")</f>
        <v/>
      </c>
    </row>
    <row r="78">
      <c r="A78" s="30">
        <f>'Student Report'!$A68</f>
        <v/>
      </c>
      <c r="B78" s="56">
        <f>'Student Report'!$B68</f>
        <v/>
      </c>
      <c r="C78" s="30">
        <f>'Student Report'!$C68</f>
        <v/>
      </c>
      <c r="D78" s="30">
        <f>'Student Report'!$G68</f>
        <v/>
      </c>
      <c r="E78" s="30">
        <f>'Student Report'!$I68</f>
        <v/>
      </c>
      <c r="F78" s="57">
        <f>'Student Report'!$AJ68</f>
        <v/>
      </c>
      <c r="G78" s="30">
        <f>'Student Report'!$AK68</f>
        <v/>
      </c>
      <c r="H78" s="30">
        <f>IF($B78="","",COUNTIF(I78:O78,"Not Yet"))</f>
        <v/>
      </c>
      <c r="I78" s="30">
        <f>IFERROR(IF('Student Report'!$V68&lt;&gt;"",IF('Student Report'!$V68&gt;=Settings!$B$11,"Mastered",IF('Student Report'!$V68&gt;=Settings!$B$12,"Approaching","Not Yet")),IF('Student Report'!$O68&lt;&gt;"",IF('Student Report'!$O68&gt;=Settings!$B$11,"Mastered",IF('Student Report'!$O68&gt;=Settings!$B$12,"Approaching","Not Yet")),"")),"")</f>
        <v/>
      </c>
      <c r="J78" s="30">
        <f>IFERROR(IF('Student Report'!$W68&lt;&gt;"",IF('Student Report'!$W68&gt;=Settings!$B$11,"Mastered",IF('Student Report'!$W68&gt;=Settings!$B$12,"Approaching","Not Yet")),IF('Student Report'!$P68&lt;&gt;"",IF('Student Report'!$P68&gt;=Settings!$B$11,"Mastered",IF('Student Report'!$P68&gt;=Settings!$B$12,"Approaching","Not Yet")),"")),"")</f>
        <v/>
      </c>
      <c r="K78" s="30">
        <f>IFERROR(IF('Student Report'!$X68&lt;&gt;"",IF('Student Report'!$X68&gt;=Settings!$B$11,"Mastered",IF('Student Report'!$X68&gt;=Settings!$B$12,"Approaching","Not Yet")),IF('Student Report'!$Q68&lt;&gt;"",IF('Student Report'!$Q68&gt;=Settings!$B$11,"Mastered",IF('Student Report'!$Q68&gt;=Settings!$B$12,"Approaching","Not Yet")),"")),"")</f>
        <v/>
      </c>
      <c r="L78" s="30">
        <f>IFERROR(IF('Student Report'!$Y68&lt;&gt;"",IF('Student Report'!$Y68&gt;=Settings!$B$11,"Mastered",IF('Student Report'!$Y68&gt;=Settings!$B$12,"Approaching","Not Yet")),IF('Student Report'!$R68&lt;&gt;"",IF('Student Report'!$R68&gt;=Settings!$B$11,"Mastered",IF('Student Report'!$R68&gt;=Settings!$B$12,"Approaching","Not Yet")),"")),"")</f>
        <v/>
      </c>
      <c r="M78" s="30">
        <f>IFERROR(IF('Student Report'!$Z68&lt;&gt;"",IF('Student Report'!$Z68&gt;=Settings!$B$11,"Mastered",IF('Student Report'!$Z68&gt;=Settings!$B$12,"Approaching","Not Yet")),IF('Student Report'!$S68&lt;&gt;"",IF('Student Report'!$S68&gt;=Settings!$B$11,"Mastered",IF('Student Report'!$S68&gt;=Settings!$B$12,"Approaching","Not Yet")),"")),"")</f>
        <v/>
      </c>
      <c r="N78" s="30">
        <f>IFERROR(IF('Student Report'!$AA68&lt;&gt;"",IF('Student Report'!$AA68&gt;=Settings!$B$11,"Mastered",IF('Student Report'!$AA68&gt;=Settings!$B$12,"Approaching","Not Yet")),IF('Student Report'!$T68&lt;&gt;"",IF('Student Report'!$T68&gt;=Settings!$B$11,"Mastered",IF('Student Report'!$T68&gt;=Settings!$B$12,"Approaching","Not Yet")),"")),"")</f>
        <v/>
      </c>
      <c r="O78" s="30">
        <f>IFERROR(IF('Student Report'!$AB68&lt;&gt;"",IF('Student Report'!$AB68&gt;=Settings!$B$11,"Mastered",IF('Student Report'!$AB68&gt;=Settings!$B$12,"Approaching","Not Yet")),IF('Student Report'!$U68&lt;&gt;"",IF('Student Report'!$U68&gt;=Settings!$B$11,"Mastered",IF('Student Report'!$U68&gt;=Settings!$B$12,"Approaching","Not Yet")),"")),"")</f>
        <v/>
      </c>
    </row>
    <row r="79">
      <c r="A79" s="30">
        <f>'Student Report'!$A69</f>
        <v/>
      </c>
      <c r="B79" s="56">
        <f>'Student Report'!$B69</f>
        <v/>
      </c>
      <c r="C79" s="30">
        <f>'Student Report'!$C69</f>
        <v/>
      </c>
      <c r="D79" s="30">
        <f>'Student Report'!$G69</f>
        <v/>
      </c>
      <c r="E79" s="30">
        <f>'Student Report'!$I69</f>
        <v/>
      </c>
      <c r="F79" s="57">
        <f>'Student Report'!$AJ69</f>
        <v/>
      </c>
      <c r="G79" s="30">
        <f>'Student Report'!$AK69</f>
        <v/>
      </c>
      <c r="H79" s="30">
        <f>IF($B79="","",COUNTIF(I79:O79,"Not Yet"))</f>
        <v/>
      </c>
      <c r="I79" s="30">
        <f>IFERROR(IF('Student Report'!$V69&lt;&gt;"",IF('Student Report'!$V69&gt;=Settings!$B$11,"Mastered",IF('Student Report'!$V69&gt;=Settings!$B$12,"Approaching","Not Yet")),IF('Student Report'!$O69&lt;&gt;"",IF('Student Report'!$O69&gt;=Settings!$B$11,"Mastered",IF('Student Report'!$O69&gt;=Settings!$B$12,"Approaching","Not Yet")),"")),"")</f>
        <v/>
      </c>
      <c r="J79" s="30">
        <f>IFERROR(IF('Student Report'!$W69&lt;&gt;"",IF('Student Report'!$W69&gt;=Settings!$B$11,"Mastered",IF('Student Report'!$W69&gt;=Settings!$B$12,"Approaching","Not Yet")),IF('Student Report'!$P69&lt;&gt;"",IF('Student Report'!$P69&gt;=Settings!$B$11,"Mastered",IF('Student Report'!$P69&gt;=Settings!$B$12,"Approaching","Not Yet")),"")),"")</f>
        <v/>
      </c>
      <c r="K79" s="30">
        <f>IFERROR(IF('Student Report'!$X69&lt;&gt;"",IF('Student Report'!$X69&gt;=Settings!$B$11,"Mastered",IF('Student Report'!$X69&gt;=Settings!$B$12,"Approaching","Not Yet")),IF('Student Report'!$Q69&lt;&gt;"",IF('Student Report'!$Q69&gt;=Settings!$B$11,"Mastered",IF('Student Report'!$Q69&gt;=Settings!$B$12,"Approaching","Not Yet")),"")),"")</f>
        <v/>
      </c>
      <c r="L79" s="30">
        <f>IFERROR(IF('Student Report'!$Y69&lt;&gt;"",IF('Student Report'!$Y69&gt;=Settings!$B$11,"Mastered",IF('Student Report'!$Y69&gt;=Settings!$B$12,"Approaching","Not Yet")),IF('Student Report'!$R69&lt;&gt;"",IF('Student Report'!$R69&gt;=Settings!$B$11,"Mastered",IF('Student Report'!$R69&gt;=Settings!$B$12,"Approaching","Not Yet")),"")),"")</f>
        <v/>
      </c>
      <c r="M79" s="30">
        <f>IFERROR(IF('Student Report'!$Z69&lt;&gt;"",IF('Student Report'!$Z69&gt;=Settings!$B$11,"Mastered",IF('Student Report'!$Z69&gt;=Settings!$B$12,"Approaching","Not Yet")),IF('Student Report'!$S69&lt;&gt;"",IF('Student Report'!$S69&gt;=Settings!$B$11,"Mastered",IF('Student Report'!$S69&gt;=Settings!$B$12,"Approaching","Not Yet")),"")),"")</f>
        <v/>
      </c>
      <c r="N79" s="30">
        <f>IFERROR(IF('Student Report'!$AA69&lt;&gt;"",IF('Student Report'!$AA69&gt;=Settings!$B$11,"Mastered",IF('Student Report'!$AA69&gt;=Settings!$B$12,"Approaching","Not Yet")),IF('Student Report'!$T69&lt;&gt;"",IF('Student Report'!$T69&gt;=Settings!$B$11,"Mastered",IF('Student Report'!$T69&gt;=Settings!$B$12,"Approaching","Not Yet")),"")),"")</f>
        <v/>
      </c>
      <c r="O79" s="30">
        <f>IFERROR(IF('Student Report'!$AB69&lt;&gt;"",IF('Student Report'!$AB69&gt;=Settings!$B$11,"Mastered",IF('Student Report'!$AB69&gt;=Settings!$B$12,"Approaching","Not Yet")),IF('Student Report'!$U69&lt;&gt;"",IF('Student Report'!$U69&gt;=Settings!$B$11,"Mastered",IF('Student Report'!$U69&gt;=Settings!$B$12,"Approaching","Not Yet")),"")),"")</f>
        <v/>
      </c>
    </row>
    <row r="80">
      <c r="A80" s="30">
        <f>'Student Report'!$A70</f>
        <v/>
      </c>
      <c r="B80" s="56">
        <f>'Student Report'!$B70</f>
        <v/>
      </c>
      <c r="C80" s="30">
        <f>'Student Report'!$C70</f>
        <v/>
      </c>
      <c r="D80" s="30">
        <f>'Student Report'!$G70</f>
        <v/>
      </c>
      <c r="E80" s="30">
        <f>'Student Report'!$I70</f>
        <v/>
      </c>
      <c r="F80" s="57">
        <f>'Student Report'!$AJ70</f>
        <v/>
      </c>
      <c r="G80" s="30">
        <f>'Student Report'!$AK70</f>
        <v/>
      </c>
      <c r="H80" s="30">
        <f>IF($B80="","",COUNTIF(I80:O80,"Not Yet"))</f>
        <v/>
      </c>
      <c r="I80" s="30">
        <f>IFERROR(IF('Student Report'!$V70&lt;&gt;"",IF('Student Report'!$V70&gt;=Settings!$B$11,"Mastered",IF('Student Report'!$V70&gt;=Settings!$B$12,"Approaching","Not Yet")),IF('Student Report'!$O70&lt;&gt;"",IF('Student Report'!$O70&gt;=Settings!$B$11,"Mastered",IF('Student Report'!$O70&gt;=Settings!$B$12,"Approaching","Not Yet")),"")),"")</f>
        <v/>
      </c>
      <c r="J80" s="30">
        <f>IFERROR(IF('Student Report'!$W70&lt;&gt;"",IF('Student Report'!$W70&gt;=Settings!$B$11,"Mastered",IF('Student Report'!$W70&gt;=Settings!$B$12,"Approaching","Not Yet")),IF('Student Report'!$P70&lt;&gt;"",IF('Student Report'!$P70&gt;=Settings!$B$11,"Mastered",IF('Student Report'!$P70&gt;=Settings!$B$12,"Approaching","Not Yet")),"")),"")</f>
        <v/>
      </c>
      <c r="K80" s="30">
        <f>IFERROR(IF('Student Report'!$X70&lt;&gt;"",IF('Student Report'!$X70&gt;=Settings!$B$11,"Mastered",IF('Student Report'!$X70&gt;=Settings!$B$12,"Approaching","Not Yet")),IF('Student Report'!$Q70&lt;&gt;"",IF('Student Report'!$Q70&gt;=Settings!$B$11,"Mastered",IF('Student Report'!$Q70&gt;=Settings!$B$12,"Approaching","Not Yet")),"")),"")</f>
        <v/>
      </c>
      <c r="L80" s="30">
        <f>IFERROR(IF('Student Report'!$Y70&lt;&gt;"",IF('Student Report'!$Y70&gt;=Settings!$B$11,"Mastered",IF('Student Report'!$Y70&gt;=Settings!$B$12,"Approaching","Not Yet")),IF('Student Report'!$R70&lt;&gt;"",IF('Student Report'!$R70&gt;=Settings!$B$11,"Mastered",IF('Student Report'!$R70&gt;=Settings!$B$12,"Approaching","Not Yet")),"")),"")</f>
        <v/>
      </c>
      <c r="M80" s="30">
        <f>IFERROR(IF('Student Report'!$Z70&lt;&gt;"",IF('Student Report'!$Z70&gt;=Settings!$B$11,"Mastered",IF('Student Report'!$Z70&gt;=Settings!$B$12,"Approaching","Not Yet")),IF('Student Report'!$S70&lt;&gt;"",IF('Student Report'!$S70&gt;=Settings!$B$11,"Mastered",IF('Student Report'!$S70&gt;=Settings!$B$12,"Approaching","Not Yet")),"")),"")</f>
        <v/>
      </c>
      <c r="N80" s="30">
        <f>IFERROR(IF('Student Report'!$AA70&lt;&gt;"",IF('Student Report'!$AA70&gt;=Settings!$B$11,"Mastered",IF('Student Report'!$AA70&gt;=Settings!$B$12,"Approaching","Not Yet")),IF('Student Report'!$T70&lt;&gt;"",IF('Student Report'!$T70&gt;=Settings!$B$11,"Mastered",IF('Student Report'!$T70&gt;=Settings!$B$12,"Approaching","Not Yet")),"")),"")</f>
        <v/>
      </c>
      <c r="O80" s="30">
        <f>IFERROR(IF('Student Report'!$AB70&lt;&gt;"",IF('Student Report'!$AB70&gt;=Settings!$B$11,"Mastered",IF('Student Report'!$AB70&gt;=Settings!$B$12,"Approaching","Not Yet")),IF('Student Report'!$U70&lt;&gt;"",IF('Student Report'!$U70&gt;=Settings!$B$11,"Mastered",IF('Student Report'!$U70&gt;=Settings!$B$12,"Approaching","Not Yet")),"")),"")</f>
        <v/>
      </c>
    </row>
    <row r="81">
      <c r="A81" s="30">
        <f>'Student Report'!$A71</f>
        <v/>
      </c>
      <c r="B81" s="56">
        <f>'Student Report'!$B71</f>
        <v/>
      </c>
      <c r="C81" s="30">
        <f>'Student Report'!$C71</f>
        <v/>
      </c>
      <c r="D81" s="30">
        <f>'Student Report'!$G71</f>
        <v/>
      </c>
      <c r="E81" s="30">
        <f>'Student Report'!$I71</f>
        <v/>
      </c>
      <c r="F81" s="57">
        <f>'Student Report'!$AJ71</f>
        <v/>
      </c>
      <c r="G81" s="30">
        <f>'Student Report'!$AK71</f>
        <v/>
      </c>
      <c r="H81" s="30">
        <f>IF($B81="","",COUNTIF(I81:O81,"Not Yet"))</f>
        <v/>
      </c>
      <c r="I81" s="30">
        <f>IFERROR(IF('Student Report'!$V71&lt;&gt;"",IF('Student Report'!$V71&gt;=Settings!$B$11,"Mastered",IF('Student Report'!$V71&gt;=Settings!$B$12,"Approaching","Not Yet")),IF('Student Report'!$O71&lt;&gt;"",IF('Student Report'!$O71&gt;=Settings!$B$11,"Mastered",IF('Student Report'!$O71&gt;=Settings!$B$12,"Approaching","Not Yet")),"")),"")</f>
        <v/>
      </c>
      <c r="J81" s="30">
        <f>IFERROR(IF('Student Report'!$W71&lt;&gt;"",IF('Student Report'!$W71&gt;=Settings!$B$11,"Mastered",IF('Student Report'!$W71&gt;=Settings!$B$12,"Approaching","Not Yet")),IF('Student Report'!$P71&lt;&gt;"",IF('Student Report'!$P71&gt;=Settings!$B$11,"Mastered",IF('Student Report'!$P71&gt;=Settings!$B$12,"Approaching","Not Yet")),"")),"")</f>
        <v/>
      </c>
      <c r="K81" s="30">
        <f>IFERROR(IF('Student Report'!$X71&lt;&gt;"",IF('Student Report'!$X71&gt;=Settings!$B$11,"Mastered",IF('Student Report'!$X71&gt;=Settings!$B$12,"Approaching","Not Yet")),IF('Student Report'!$Q71&lt;&gt;"",IF('Student Report'!$Q71&gt;=Settings!$B$11,"Mastered",IF('Student Report'!$Q71&gt;=Settings!$B$12,"Approaching","Not Yet")),"")),"")</f>
        <v/>
      </c>
      <c r="L81" s="30">
        <f>IFERROR(IF('Student Report'!$Y71&lt;&gt;"",IF('Student Report'!$Y71&gt;=Settings!$B$11,"Mastered",IF('Student Report'!$Y71&gt;=Settings!$B$12,"Approaching","Not Yet")),IF('Student Report'!$R71&lt;&gt;"",IF('Student Report'!$R71&gt;=Settings!$B$11,"Mastered",IF('Student Report'!$R71&gt;=Settings!$B$12,"Approaching","Not Yet")),"")),"")</f>
        <v/>
      </c>
      <c r="M81" s="30">
        <f>IFERROR(IF('Student Report'!$Z71&lt;&gt;"",IF('Student Report'!$Z71&gt;=Settings!$B$11,"Mastered",IF('Student Report'!$Z71&gt;=Settings!$B$12,"Approaching","Not Yet")),IF('Student Report'!$S71&lt;&gt;"",IF('Student Report'!$S71&gt;=Settings!$B$11,"Mastered",IF('Student Report'!$S71&gt;=Settings!$B$12,"Approaching","Not Yet")),"")),"")</f>
        <v/>
      </c>
      <c r="N81" s="30">
        <f>IFERROR(IF('Student Report'!$AA71&lt;&gt;"",IF('Student Report'!$AA71&gt;=Settings!$B$11,"Mastered",IF('Student Report'!$AA71&gt;=Settings!$B$12,"Approaching","Not Yet")),IF('Student Report'!$T71&lt;&gt;"",IF('Student Report'!$T71&gt;=Settings!$B$11,"Mastered",IF('Student Report'!$T71&gt;=Settings!$B$12,"Approaching","Not Yet")),"")),"")</f>
        <v/>
      </c>
      <c r="O81" s="30">
        <f>IFERROR(IF('Student Report'!$AB71&lt;&gt;"",IF('Student Report'!$AB71&gt;=Settings!$B$11,"Mastered",IF('Student Report'!$AB71&gt;=Settings!$B$12,"Approaching","Not Yet")),IF('Student Report'!$U71&lt;&gt;"",IF('Student Report'!$U71&gt;=Settings!$B$11,"Mastered",IF('Student Report'!$U71&gt;=Settings!$B$12,"Approaching","Not Yet")),"")),"")</f>
        <v/>
      </c>
    </row>
    <row r="82">
      <c r="A82" s="30">
        <f>'Student Report'!$A72</f>
        <v/>
      </c>
      <c r="B82" s="56">
        <f>'Student Report'!$B72</f>
        <v/>
      </c>
      <c r="C82" s="30">
        <f>'Student Report'!$C72</f>
        <v/>
      </c>
      <c r="D82" s="30">
        <f>'Student Report'!$G72</f>
        <v/>
      </c>
      <c r="E82" s="30">
        <f>'Student Report'!$I72</f>
        <v/>
      </c>
      <c r="F82" s="57">
        <f>'Student Report'!$AJ72</f>
        <v/>
      </c>
      <c r="G82" s="30">
        <f>'Student Report'!$AK72</f>
        <v/>
      </c>
      <c r="H82" s="30">
        <f>IF($B82="","",COUNTIF(I82:O82,"Not Yet"))</f>
        <v/>
      </c>
      <c r="I82" s="30">
        <f>IFERROR(IF('Student Report'!$V72&lt;&gt;"",IF('Student Report'!$V72&gt;=Settings!$B$11,"Mastered",IF('Student Report'!$V72&gt;=Settings!$B$12,"Approaching","Not Yet")),IF('Student Report'!$O72&lt;&gt;"",IF('Student Report'!$O72&gt;=Settings!$B$11,"Mastered",IF('Student Report'!$O72&gt;=Settings!$B$12,"Approaching","Not Yet")),"")),"")</f>
        <v/>
      </c>
      <c r="J82" s="30">
        <f>IFERROR(IF('Student Report'!$W72&lt;&gt;"",IF('Student Report'!$W72&gt;=Settings!$B$11,"Mastered",IF('Student Report'!$W72&gt;=Settings!$B$12,"Approaching","Not Yet")),IF('Student Report'!$P72&lt;&gt;"",IF('Student Report'!$P72&gt;=Settings!$B$11,"Mastered",IF('Student Report'!$P72&gt;=Settings!$B$12,"Approaching","Not Yet")),"")),"")</f>
        <v/>
      </c>
      <c r="K82" s="30">
        <f>IFERROR(IF('Student Report'!$X72&lt;&gt;"",IF('Student Report'!$X72&gt;=Settings!$B$11,"Mastered",IF('Student Report'!$X72&gt;=Settings!$B$12,"Approaching","Not Yet")),IF('Student Report'!$Q72&lt;&gt;"",IF('Student Report'!$Q72&gt;=Settings!$B$11,"Mastered",IF('Student Report'!$Q72&gt;=Settings!$B$12,"Approaching","Not Yet")),"")),"")</f>
        <v/>
      </c>
      <c r="L82" s="30">
        <f>IFERROR(IF('Student Report'!$Y72&lt;&gt;"",IF('Student Report'!$Y72&gt;=Settings!$B$11,"Mastered",IF('Student Report'!$Y72&gt;=Settings!$B$12,"Approaching","Not Yet")),IF('Student Report'!$R72&lt;&gt;"",IF('Student Report'!$R72&gt;=Settings!$B$11,"Mastered",IF('Student Report'!$R72&gt;=Settings!$B$12,"Approaching","Not Yet")),"")),"")</f>
        <v/>
      </c>
      <c r="M82" s="30">
        <f>IFERROR(IF('Student Report'!$Z72&lt;&gt;"",IF('Student Report'!$Z72&gt;=Settings!$B$11,"Mastered",IF('Student Report'!$Z72&gt;=Settings!$B$12,"Approaching","Not Yet")),IF('Student Report'!$S72&lt;&gt;"",IF('Student Report'!$S72&gt;=Settings!$B$11,"Mastered",IF('Student Report'!$S72&gt;=Settings!$B$12,"Approaching","Not Yet")),"")),"")</f>
        <v/>
      </c>
      <c r="N82" s="30">
        <f>IFERROR(IF('Student Report'!$AA72&lt;&gt;"",IF('Student Report'!$AA72&gt;=Settings!$B$11,"Mastered",IF('Student Report'!$AA72&gt;=Settings!$B$12,"Approaching","Not Yet")),IF('Student Report'!$T72&lt;&gt;"",IF('Student Report'!$T72&gt;=Settings!$B$11,"Mastered",IF('Student Report'!$T72&gt;=Settings!$B$12,"Approaching","Not Yet")),"")),"")</f>
        <v/>
      </c>
      <c r="O82" s="30">
        <f>IFERROR(IF('Student Report'!$AB72&lt;&gt;"",IF('Student Report'!$AB72&gt;=Settings!$B$11,"Mastered",IF('Student Report'!$AB72&gt;=Settings!$B$12,"Approaching","Not Yet")),IF('Student Report'!$U72&lt;&gt;"",IF('Student Report'!$U72&gt;=Settings!$B$11,"Mastered",IF('Student Report'!$U72&gt;=Settings!$B$12,"Approaching","Not Yet")),"")),"")</f>
        <v/>
      </c>
    </row>
    <row r="83">
      <c r="A83" s="30">
        <f>'Student Report'!$A73</f>
        <v/>
      </c>
      <c r="B83" s="56">
        <f>'Student Report'!$B73</f>
        <v/>
      </c>
      <c r="C83" s="30">
        <f>'Student Report'!$C73</f>
        <v/>
      </c>
      <c r="D83" s="30">
        <f>'Student Report'!$G73</f>
        <v/>
      </c>
      <c r="E83" s="30">
        <f>'Student Report'!$I73</f>
        <v/>
      </c>
      <c r="F83" s="57">
        <f>'Student Report'!$AJ73</f>
        <v/>
      </c>
      <c r="G83" s="30">
        <f>'Student Report'!$AK73</f>
        <v/>
      </c>
      <c r="H83" s="30">
        <f>IF($B83="","",COUNTIF(I83:O83,"Not Yet"))</f>
        <v/>
      </c>
      <c r="I83" s="30">
        <f>IFERROR(IF('Student Report'!$V73&lt;&gt;"",IF('Student Report'!$V73&gt;=Settings!$B$11,"Mastered",IF('Student Report'!$V73&gt;=Settings!$B$12,"Approaching","Not Yet")),IF('Student Report'!$O73&lt;&gt;"",IF('Student Report'!$O73&gt;=Settings!$B$11,"Mastered",IF('Student Report'!$O73&gt;=Settings!$B$12,"Approaching","Not Yet")),"")),"")</f>
        <v/>
      </c>
      <c r="J83" s="30">
        <f>IFERROR(IF('Student Report'!$W73&lt;&gt;"",IF('Student Report'!$W73&gt;=Settings!$B$11,"Mastered",IF('Student Report'!$W73&gt;=Settings!$B$12,"Approaching","Not Yet")),IF('Student Report'!$P73&lt;&gt;"",IF('Student Report'!$P73&gt;=Settings!$B$11,"Mastered",IF('Student Report'!$P73&gt;=Settings!$B$12,"Approaching","Not Yet")),"")),"")</f>
        <v/>
      </c>
      <c r="K83" s="30">
        <f>IFERROR(IF('Student Report'!$X73&lt;&gt;"",IF('Student Report'!$X73&gt;=Settings!$B$11,"Mastered",IF('Student Report'!$X73&gt;=Settings!$B$12,"Approaching","Not Yet")),IF('Student Report'!$Q73&lt;&gt;"",IF('Student Report'!$Q73&gt;=Settings!$B$11,"Mastered",IF('Student Report'!$Q73&gt;=Settings!$B$12,"Approaching","Not Yet")),"")),"")</f>
        <v/>
      </c>
      <c r="L83" s="30">
        <f>IFERROR(IF('Student Report'!$Y73&lt;&gt;"",IF('Student Report'!$Y73&gt;=Settings!$B$11,"Mastered",IF('Student Report'!$Y73&gt;=Settings!$B$12,"Approaching","Not Yet")),IF('Student Report'!$R73&lt;&gt;"",IF('Student Report'!$R73&gt;=Settings!$B$11,"Mastered",IF('Student Report'!$R73&gt;=Settings!$B$12,"Approaching","Not Yet")),"")),"")</f>
        <v/>
      </c>
      <c r="M83" s="30">
        <f>IFERROR(IF('Student Report'!$Z73&lt;&gt;"",IF('Student Report'!$Z73&gt;=Settings!$B$11,"Mastered",IF('Student Report'!$Z73&gt;=Settings!$B$12,"Approaching","Not Yet")),IF('Student Report'!$S73&lt;&gt;"",IF('Student Report'!$S73&gt;=Settings!$B$11,"Mastered",IF('Student Report'!$S73&gt;=Settings!$B$12,"Approaching","Not Yet")),"")),"")</f>
        <v/>
      </c>
      <c r="N83" s="30">
        <f>IFERROR(IF('Student Report'!$AA73&lt;&gt;"",IF('Student Report'!$AA73&gt;=Settings!$B$11,"Mastered",IF('Student Report'!$AA73&gt;=Settings!$B$12,"Approaching","Not Yet")),IF('Student Report'!$T73&lt;&gt;"",IF('Student Report'!$T73&gt;=Settings!$B$11,"Mastered",IF('Student Report'!$T73&gt;=Settings!$B$12,"Approaching","Not Yet")),"")),"")</f>
        <v/>
      </c>
      <c r="O83" s="30">
        <f>IFERROR(IF('Student Report'!$AB73&lt;&gt;"",IF('Student Report'!$AB73&gt;=Settings!$B$11,"Mastered",IF('Student Report'!$AB73&gt;=Settings!$B$12,"Approaching","Not Yet")),IF('Student Report'!$U73&lt;&gt;"",IF('Student Report'!$U73&gt;=Settings!$B$11,"Mastered",IF('Student Report'!$U73&gt;=Settings!$B$12,"Approaching","Not Yet")),"")),"")</f>
        <v/>
      </c>
    </row>
    <row r="84">
      <c r="A84" s="30">
        <f>'Student Report'!$A74</f>
        <v/>
      </c>
      <c r="B84" s="56">
        <f>'Student Report'!$B74</f>
        <v/>
      </c>
      <c r="C84" s="30">
        <f>'Student Report'!$C74</f>
        <v/>
      </c>
      <c r="D84" s="30">
        <f>'Student Report'!$G74</f>
        <v/>
      </c>
      <c r="E84" s="30">
        <f>'Student Report'!$I74</f>
        <v/>
      </c>
      <c r="F84" s="57">
        <f>'Student Report'!$AJ74</f>
        <v/>
      </c>
      <c r="G84" s="30">
        <f>'Student Report'!$AK74</f>
        <v/>
      </c>
      <c r="H84" s="30">
        <f>IF($B84="","",COUNTIF(I84:O84,"Not Yet"))</f>
        <v/>
      </c>
      <c r="I84" s="30">
        <f>IFERROR(IF('Student Report'!$V74&lt;&gt;"",IF('Student Report'!$V74&gt;=Settings!$B$11,"Mastered",IF('Student Report'!$V74&gt;=Settings!$B$12,"Approaching","Not Yet")),IF('Student Report'!$O74&lt;&gt;"",IF('Student Report'!$O74&gt;=Settings!$B$11,"Mastered",IF('Student Report'!$O74&gt;=Settings!$B$12,"Approaching","Not Yet")),"")),"")</f>
        <v/>
      </c>
      <c r="J84" s="30">
        <f>IFERROR(IF('Student Report'!$W74&lt;&gt;"",IF('Student Report'!$W74&gt;=Settings!$B$11,"Mastered",IF('Student Report'!$W74&gt;=Settings!$B$12,"Approaching","Not Yet")),IF('Student Report'!$P74&lt;&gt;"",IF('Student Report'!$P74&gt;=Settings!$B$11,"Mastered",IF('Student Report'!$P74&gt;=Settings!$B$12,"Approaching","Not Yet")),"")),"")</f>
        <v/>
      </c>
      <c r="K84" s="30">
        <f>IFERROR(IF('Student Report'!$X74&lt;&gt;"",IF('Student Report'!$X74&gt;=Settings!$B$11,"Mastered",IF('Student Report'!$X74&gt;=Settings!$B$12,"Approaching","Not Yet")),IF('Student Report'!$Q74&lt;&gt;"",IF('Student Report'!$Q74&gt;=Settings!$B$11,"Mastered",IF('Student Report'!$Q74&gt;=Settings!$B$12,"Approaching","Not Yet")),"")),"")</f>
        <v/>
      </c>
      <c r="L84" s="30">
        <f>IFERROR(IF('Student Report'!$Y74&lt;&gt;"",IF('Student Report'!$Y74&gt;=Settings!$B$11,"Mastered",IF('Student Report'!$Y74&gt;=Settings!$B$12,"Approaching","Not Yet")),IF('Student Report'!$R74&lt;&gt;"",IF('Student Report'!$R74&gt;=Settings!$B$11,"Mastered",IF('Student Report'!$R74&gt;=Settings!$B$12,"Approaching","Not Yet")),"")),"")</f>
        <v/>
      </c>
      <c r="M84" s="30">
        <f>IFERROR(IF('Student Report'!$Z74&lt;&gt;"",IF('Student Report'!$Z74&gt;=Settings!$B$11,"Mastered",IF('Student Report'!$Z74&gt;=Settings!$B$12,"Approaching","Not Yet")),IF('Student Report'!$S74&lt;&gt;"",IF('Student Report'!$S74&gt;=Settings!$B$11,"Mastered",IF('Student Report'!$S74&gt;=Settings!$B$12,"Approaching","Not Yet")),"")),"")</f>
        <v/>
      </c>
      <c r="N84" s="30">
        <f>IFERROR(IF('Student Report'!$AA74&lt;&gt;"",IF('Student Report'!$AA74&gt;=Settings!$B$11,"Mastered",IF('Student Report'!$AA74&gt;=Settings!$B$12,"Approaching","Not Yet")),IF('Student Report'!$T74&lt;&gt;"",IF('Student Report'!$T74&gt;=Settings!$B$11,"Mastered",IF('Student Report'!$T74&gt;=Settings!$B$12,"Approaching","Not Yet")),"")),"")</f>
        <v/>
      </c>
      <c r="O84" s="30">
        <f>IFERROR(IF('Student Report'!$AB74&lt;&gt;"",IF('Student Report'!$AB74&gt;=Settings!$B$11,"Mastered",IF('Student Report'!$AB74&gt;=Settings!$B$12,"Approaching","Not Yet")),IF('Student Report'!$U74&lt;&gt;"",IF('Student Report'!$U74&gt;=Settings!$B$11,"Mastered",IF('Student Report'!$U74&gt;=Settings!$B$12,"Approaching","Not Yet")),"")),"")</f>
        <v/>
      </c>
    </row>
    <row r="85">
      <c r="A85" s="30">
        <f>'Student Report'!$A75</f>
        <v/>
      </c>
      <c r="B85" s="56">
        <f>'Student Report'!$B75</f>
        <v/>
      </c>
      <c r="C85" s="30">
        <f>'Student Report'!$C75</f>
        <v/>
      </c>
      <c r="D85" s="30">
        <f>'Student Report'!$G75</f>
        <v/>
      </c>
      <c r="E85" s="30">
        <f>'Student Report'!$I75</f>
        <v/>
      </c>
      <c r="F85" s="57">
        <f>'Student Report'!$AJ75</f>
        <v/>
      </c>
      <c r="G85" s="30">
        <f>'Student Report'!$AK75</f>
        <v/>
      </c>
      <c r="H85" s="30">
        <f>IF($B85="","",COUNTIF(I85:O85,"Not Yet"))</f>
        <v/>
      </c>
      <c r="I85" s="30">
        <f>IFERROR(IF('Student Report'!$V75&lt;&gt;"",IF('Student Report'!$V75&gt;=Settings!$B$11,"Mastered",IF('Student Report'!$V75&gt;=Settings!$B$12,"Approaching","Not Yet")),IF('Student Report'!$O75&lt;&gt;"",IF('Student Report'!$O75&gt;=Settings!$B$11,"Mastered",IF('Student Report'!$O75&gt;=Settings!$B$12,"Approaching","Not Yet")),"")),"")</f>
        <v/>
      </c>
      <c r="J85" s="30">
        <f>IFERROR(IF('Student Report'!$W75&lt;&gt;"",IF('Student Report'!$W75&gt;=Settings!$B$11,"Mastered",IF('Student Report'!$W75&gt;=Settings!$B$12,"Approaching","Not Yet")),IF('Student Report'!$P75&lt;&gt;"",IF('Student Report'!$P75&gt;=Settings!$B$11,"Mastered",IF('Student Report'!$P75&gt;=Settings!$B$12,"Approaching","Not Yet")),"")),"")</f>
        <v/>
      </c>
      <c r="K85" s="30">
        <f>IFERROR(IF('Student Report'!$X75&lt;&gt;"",IF('Student Report'!$X75&gt;=Settings!$B$11,"Mastered",IF('Student Report'!$X75&gt;=Settings!$B$12,"Approaching","Not Yet")),IF('Student Report'!$Q75&lt;&gt;"",IF('Student Report'!$Q75&gt;=Settings!$B$11,"Mastered",IF('Student Report'!$Q75&gt;=Settings!$B$12,"Approaching","Not Yet")),"")),"")</f>
        <v/>
      </c>
      <c r="L85" s="30">
        <f>IFERROR(IF('Student Report'!$Y75&lt;&gt;"",IF('Student Report'!$Y75&gt;=Settings!$B$11,"Mastered",IF('Student Report'!$Y75&gt;=Settings!$B$12,"Approaching","Not Yet")),IF('Student Report'!$R75&lt;&gt;"",IF('Student Report'!$R75&gt;=Settings!$B$11,"Mastered",IF('Student Report'!$R75&gt;=Settings!$B$12,"Approaching","Not Yet")),"")),"")</f>
        <v/>
      </c>
      <c r="M85" s="30">
        <f>IFERROR(IF('Student Report'!$Z75&lt;&gt;"",IF('Student Report'!$Z75&gt;=Settings!$B$11,"Mastered",IF('Student Report'!$Z75&gt;=Settings!$B$12,"Approaching","Not Yet")),IF('Student Report'!$S75&lt;&gt;"",IF('Student Report'!$S75&gt;=Settings!$B$11,"Mastered",IF('Student Report'!$S75&gt;=Settings!$B$12,"Approaching","Not Yet")),"")),"")</f>
        <v/>
      </c>
      <c r="N85" s="30">
        <f>IFERROR(IF('Student Report'!$AA75&lt;&gt;"",IF('Student Report'!$AA75&gt;=Settings!$B$11,"Mastered",IF('Student Report'!$AA75&gt;=Settings!$B$12,"Approaching","Not Yet")),IF('Student Report'!$T75&lt;&gt;"",IF('Student Report'!$T75&gt;=Settings!$B$11,"Mastered",IF('Student Report'!$T75&gt;=Settings!$B$12,"Approaching","Not Yet")),"")),"")</f>
        <v/>
      </c>
      <c r="O85" s="30">
        <f>IFERROR(IF('Student Report'!$AB75&lt;&gt;"",IF('Student Report'!$AB75&gt;=Settings!$B$11,"Mastered",IF('Student Report'!$AB75&gt;=Settings!$B$12,"Approaching","Not Yet")),IF('Student Report'!$U75&lt;&gt;"",IF('Student Report'!$U75&gt;=Settings!$B$11,"Mastered",IF('Student Report'!$U75&gt;=Settings!$B$12,"Approaching","Not Yet")),"")),"")</f>
        <v/>
      </c>
    </row>
    <row r="86">
      <c r="A86" s="30">
        <f>'Student Report'!$A76</f>
        <v/>
      </c>
      <c r="B86" s="56">
        <f>'Student Report'!$B76</f>
        <v/>
      </c>
      <c r="C86" s="30">
        <f>'Student Report'!$C76</f>
        <v/>
      </c>
      <c r="D86" s="30">
        <f>'Student Report'!$G76</f>
        <v/>
      </c>
      <c r="E86" s="30">
        <f>'Student Report'!$I76</f>
        <v/>
      </c>
      <c r="F86" s="57">
        <f>'Student Report'!$AJ76</f>
        <v/>
      </c>
      <c r="G86" s="30">
        <f>'Student Report'!$AK76</f>
        <v/>
      </c>
      <c r="H86" s="30">
        <f>IF($B86="","",COUNTIF(I86:O86,"Not Yet"))</f>
        <v/>
      </c>
      <c r="I86" s="30">
        <f>IFERROR(IF('Student Report'!$V76&lt;&gt;"",IF('Student Report'!$V76&gt;=Settings!$B$11,"Mastered",IF('Student Report'!$V76&gt;=Settings!$B$12,"Approaching","Not Yet")),IF('Student Report'!$O76&lt;&gt;"",IF('Student Report'!$O76&gt;=Settings!$B$11,"Mastered",IF('Student Report'!$O76&gt;=Settings!$B$12,"Approaching","Not Yet")),"")),"")</f>
        <v/>
      </c>
      <c r="J86" s="30">
        <f>IFERROR(IF('Student Report'!$W76&lt;&gt;"",IF('Student Report'!$W76&gt;=Settings!$B$11,"Mastered",IF('Student Report'!$W76&gt;=Settings!$B$12,"Approaching","Not Yet")),IF('Student Report'!$P76&lt;&gt;"",IF('Student Report'!$P76&gt;=Settings!$B$11,"Mastered",IF('Student Report'!$P76&gt;=Settings!$B$12,"Approaching","Not Yet")),"")),"")</f>
        <v/>
      </c>
      <c r="K86" s="30">
        <f>IFERROR(IF('Student Report'!$X76&lt;&gt;"",IF('Student Report'!$X76&gt;=Settings!$B$11,"Mastered",IF('Student Report'!$X76&gt;=Settings!$B$12,"Approaching","Not Yet")),IF('Student Report'!$Q76&lt;&gt;"",IF('Student Report'!$Q76&gt;=Settings!$B$11,"Mastered",IF('Student Report'!$Q76&gt;=Settings!$B$12,"Approaching","Not Yet")),"")),"")</f>
        <v/>
      </c>
      <c r="L86" s="30">
        <f>IFERROR(IF('Student Report'!$Y76&lt;&gt;"",IF('Student Report'!$Y76&gt;=Settings!$B$11,"Mastered",IF('Student Report'!$Y76&gt;=Settings!$B$12,"Approaching","Not Yet")),IF('Student Report'!$R76&lt;&gt;"",IF('Student Report'!$R76&gt;=Settings!$B$11,"Mastered",IF('Student Report'!$R76&gt;=Settings!$B$12,"Approaching","Not Yet")),"")),"")</f>
        <v/>
      </c>
      <c r="M86" s="30">
        <f>IFERROR(IF('Student Report'!$Z76&lt;&gt;"",IF('Student Report'!$Z76&gt;=Settings!$B$11,"Mastered",IF('Student Report'!$Z76&gt;=Settings!$B$12,"Approaching","Not Yet")),IF('Student Report'!$S76&lt;&gt;"",IF('Student Report'!$S76&gt;=Settings!$B$11,"Mastered",IF('Student Report'!$S76&gt;=Settings!$B$12,"Approaching","Not Yet")),"")),"")</f>
        <v/>
      </c>
      <c r="N86" s="30">
        <f>IFERROR(IF('Student Report'!$AA76&lt;&gt;"",IF('Student Report'!$AA76&gt;=Settings!$B$11,"Mastered",IF('Student Report'!$AA76&gt;=Settings!$B$12,"Approaching","Not Yet")),IF('Student Report'!$T76&lt;&gt;"",IF('Student Report'!$T76&gt;=Settings!$B$11,"Mastered",IF('Student Report'!$T76&gt;=Settings!$B$12,"Approaching","Not Yet")),"")),"")</f>
        <v/>
      </c>
      <c r="O86" s="30">
        <f>IFERROR(IF('Student Report'!$AB76&lt;&gt;"",IF('Student Report'!$AB76&gt;=Settings!$B$11,"Mastered",IF('Student Report'!$AB76&gt;=Settings!$B$12,"Approaching","Not Yet")),IF('Student Report'!$U76&lt;&gt;"",IF('Student Report'!$U76&gt;=Settings!$B$11,"Mastered",IF('Student Report'!$U76&gt;=Settings!$B$12,"Approaching","Not Yet")),"")),"")</f>
        <v/>
      </c>
    </row>
    <row r="87">
      <c r="A87" s="30">
        <f>'Student Report'!$A77</f>
        <v/>
      </c>
      <c r="B87" s="56">
        <f>'Student Report'!$B77</f>
        <v/>
      </c>
      <c r="C87" s="30">
        <f>'Student Report'!$C77</f>
        <v/>
      </c>
      <c r="D87" s="30">
        <f>'Student Report'!$G77</f>
        <v/>
      </c>
      <c r="E87" s="30">
        <f>'Student Report'!$I77</f>
        <v/>
      </c>
      <c r="F87" s="57">
        <f>'Student Report'!$AJ77</f>
        <v/>
      </c>
      <c r="G87" s="30">
        <f>'Student Report'!$AK77</f>
        <v/>
      </c>
      <c r="H87" s="30">
        <f>IF($B87="","",COUNTIF(I87:O87,"Not Yet"))</f>
        <v/>
      </c>
      <c r="I87" s="30">
        <f>IFERROR(IF('Student Report'!$V77&lt;&gt;"",IF('Student Report'!$V77&gt;=Settings!$B$11,"Mastered",IF('Student Report'!$V77&gt;=Settings!$B$12,"Approaching","Not Yet")),IF('Student Report'!$O77&lt;&gt;"",IF('Student Report'!$O77&gt;=Settings!$B$11,"Mastered",IF('Student Report'!$O77&gt;=Settings!$B$12,"Approaching","Not Yet")),"")),"")</f>
        <v/>
      </c>
      <c r="J87" s="30">
        <f>IFERROR(IF('Student Report'!$W77&lt;&gt;"",IF('Student Report'!$W77&gt;=Settings!$B$11,"Mastered",IF('Student Report'!$W77&gt;=Settings!$B$12,"Approaching","Not Yet")),IF('Student Report'!$P77&lt;&gt;"",IF('Student Report'!$P77&gt;=Settings!$B$11,"Mastered",IF('Student Report'!$P77&gt;=Settings!$B$12,"Approaching","Not Yet")),"")),"")</f>
        <v/>
      </c>
      <c r="K87" s="30">
        <f>IFERROR(IF('Student Report'!$X77&lt;&gt;"",IF('Student Report'!$X77&gt;=Settings!$B$11,"Mastered",IF('Student Report'!$X77&gt;=Settings!$B$12,"Approaching","Not Yet")),IF('Student Report'!$Q77&lt;&gt;"",IF('Student Report'!$Q77&gt;=Settings!$B$11,"Mastered",IF('Student Report'!$Q77&gt;=Settings!$B$12,"Approaching","Not Yet")),"")),"")</f>
        <v/>
      </c>
      <c r="L87" s="30">
        <f>IFERROR(IF('Student Report'!$Y77&lt;&gt;"",IF('Student Report'!$Y77&gt;=Settings!$B$11,"Mastered",IF('Student Report'!$Y77&gt;=Settings!$B$12,"Approaching","Not Yet")),IF('Student Report'!$R77&lt;&gt;"",IF('Student Report'!$R77&gt;=Settings!$B$11,"Mastered",IF('Student Report'!$R77&gt;=Settings!$B$12,"Approaching","Not Yet")),"")),"")</f>
        <v/>
      </c>
      <c r="M87" s="30">
        <f>IFERROR(IF('Student Report'!$Z77&lt;&gt;"",IF('Student Report'!$Z77&gt;=Settings!$B$11,"Mastered",IF('Student Report'!$Z77&gt;=Settings!$B$12,"Approaching","Not Yet")),IF('Student Report'!$S77&lt;&gt;"",IF('Student Report'!$S77&gt;=Settings!$B$11,"Mastered",IF('Student Report'!$S77&gt;=Settings!$B$12,"Approaching","Not Yet")),"")),"")</f>
        <v/>
      </c>
      <c r="N87" s="30">
        <f>IFERROR(IF('Student Report'!$AA77&lt;&gt;"",IF('Student Report'!$AA77&gt;=Settings!$B$11,"Mastered",IF('Student Report'!$AA77&gt;=Settings!$B$12,"Approaching","Not Yet")),IF('Student Report'!$T77&lt;&gt;"",IF('Student Report'!$T77&gt;=Settings!$B$11,"Mastered",IF('Student Report'!$T77&gt;=Settings!$B$12,"Approaching","Not Yet")),"")),"")</f>
        <v/>
      </c>
      <c r="O87" s="30">
        <f>IFERROR(IF('Student Report'!$AB77&lt;&gt;"",IF('Student Report'!$AB77&gt;=Settings!$B$11,"Mastered",IF('Student Report'!$AB77&gt;=Settings!$B$12,"Approaching","Not Yet")),IF('Student Report'!$U77&lt;&gt;"",IF('Student Report'!$U77&gt;=Settings!$B$11,"Mastered",IF('Student Report'!$U77&gt;=Settings!$B$12,"Approaching","Not Yet")),"")),"")</f>
        <v/>
      </c>
    </row>
    <row r="88">
      <c r="A88" s="30">
        <f>'Student Report'!$A78</f>
        <v/>
      </c>
      <c r="B88" s="56">
        <f>'Student Report'!$B78</f>
        <v/>
      </c>
      <c r="C88" s="30">
        <f>'Student Report'!$C78</f>
        <v/>
      </c>
      <c r="D88" s="30">
        <f>'Student Report'!$G78</f>
        <v/>
      </c>
      <c r="E88" s="30">
        <f>'Student Report'!$I78</f>
        <v/>
      </c>
      <c r="F88" s="57">
        <f>'Student Report'!$AJ78</f>
        <v/>
      </c>
      <c r="G88" s="30">
        <f>'Student Report'!$AK78</f>
        <v/>
      </c>
      <c r="H88" s="30">
        <f>IF($B88="","",COUNTIF(I88:O88,"Not Yet"))</f>
        <v/>
      </c>
      <c r="I88" s="30">
        <f>IFERROR(IF('Student Report'!$V78&lt;&gt;"",IF('Student Report'!$V78&gt;=Settings!$B$11,"Mastered",IF('Student Report'!$V78&gt;=Settings!$B$12,"Approaching","Not Yet")),IF('Student Report'!$O78&lt;&gt;"",IF('Student Report'!$O78&gt;=Settings!$B$11,"Mastered",IF('Student Report'!$O78&gt;=Settings!$B$12,"Approaching","Not Yet")),"")),"")</f>
        <v/>
      </c>
      <c r="J88" s="30">
        <f>IFERROR(IF('Student Report'!$W78&lt;&gt;"",IF('Student Report'!$W78&gt;=Settings!$B$11,"Mastered",IF('Student Report'!$W78&gt;=Settings!$B$12,"Approaching","Not Yet")),IF('Student Report'!$P78&lt;&gt;"",IF('Student Report'!$P78&gt;=Settings!$B$11,"Mastered",IF('Student Report'!$P78&gt;=Settings!$B$12,"Approaching","Not Yet")),"")),"")</f>
        <v/>
      </c>
      <c r="K88" s="30">
        <f>IFERROR(IF('Student Report'!$X78&lt;&gt;"",IF('Student Report'!$X78&gt;=Settings!$B$11,"Mastered",IF('Student Report'!$X78&gt;=Settings!$B$12,"Approaching","Not Yet")),IF('Student Report'!$Q78&lt;&gt;"",IF('Student Report'!$Q78&gt;=Settings!$B$11,"Mastered",IF('Student Report'!$Q78&gt;=Settings!$B$12,"Approaching","Not Yet")),"")),"")</f>
        <v/>
      </c>
      <c r="L88" s="30">
        <f>IFERROR(IF('Student Report'!$Y78&lt;&gt;"",IF('Student Report'!$Y78&gt;=Settings!$B$11,"Mastered",IF('Student Report'!$Y78&gt;=Settings!$B$12,"Approaching","Not Yet")),IF('Student Report'!$R78&lt;&gt;"",IF('Student Report'!$R78&gt;=Settings!$B$11,"Mastered",IF('Student Report'!$R78&gt;=Settings!$B$12,"Approaching","Not Yet")),"")),"")</f>
        <v/>
      </c>
      <c r="M88" s="30">
        <f>IFERROR(IF('Student Report'!$Z78&lt;&gt;"",IF('Student Report'!$Z78&gt;=Settings!$B$11,"Mastered",IF('Student Report'!$Z78&gt;=Settings!$B$12,"Approaching","Not Yet")),IF('Student Report'!$S78&lt;&gt;"",IF('Student Report'!$S78&gt;=Settings!$B$11,"Mastered",IF('Student Report'!$S78&gt;=Settings!$B$12,"Approaching","Not Yet")),"")),"")</f>
        <v/>
      </c>
      <c r="N88" s="30">
        <f>IFERROR(IF('Student Report'!$AA78&lt;&gt;"",IF('Student Report'!$AA78&gt;=Settings!$B$11,"Mastered",IF('Student Report'!$AA78&gt;=Settings!$B$12,"Approaching","Not Yet")),IF('Student Report'!$T78&lt;&gt;"",IF('Student Report'!$T78&gt;=Settings!$B$11,"Mastered",IF('Student Report'!$T78&gt;=Settings!$B$12,"Approaching","Not Yet")),"")),"")</f>
        <v/>
      </c>
      <c r="O88" s="30">
        <f>IFERROR(IF('Student Report'!$AB78&lt;&gt;"",IF('Student Report'!$AB78&gt;=Settings!$B$11,"Mastered",IF('Student Report'!$AB78&gt;=Settings!$B$12,"Approaching","Not Yet")),IF('Student Report'!$U78&lt;&gt;"",IF('Student Report'!$U78&gt;=Settings!$B$11,"Mastered",IF('Student Report'!$U78&gt;=Settings!$B$12,"Approaching","Not Yet")),"")),"")</f>
        <v/>
      </c>
    </row>
    <row r="89">
      <c r="A89" s="30">
        <f>'Student Report'!$A79</f>
        <v/>
      </c>
      <c r="B89" s="56">
        <f>'Student Report'!$B79</f>
        <v/>
      </c>
      <c r="C89" s="30">
        <f>'Student Report'!$C79</f>
        <v/>
      </c>
      <c r="D89" s="30">
        <f>'Student Report'!$G79</f>
        <v/>
      </c>
      <c r="E89" s="30">
        <f>'Student Report'!$I79</f>
        <v/>
      </c>
      <c r="F89" s="57">
        <f>'Student Report'!$AJ79</f>
        <v/>
      </c>
      <c r="G89" s="30">
        <f>'Student Report'!$AK79</f>
        <v/>
      </c>
      <c r="H89" s="30">
        <f>IF($B89="","",COUNTIF(I89:O89,"Not Yet"))</f>
        <v/>
      </c>
      <c r="I89" s="30">
        <f>IFERROR(IF('Student Report'!$V79&lt;&gt;"",IF('Student Report'!$V79&gt;=Settings!$B$11,"Mastered",IF('Student Report'!$V79&gt;=Settings!$B$12,"Approaching","Not Yet")),IF('Student Report'!$O79&lt;&gt;"",IF('Student Report'!$O79&gt;=Settings!$B$11,"Mastered",IF('Student Report'!$O79&gt;=Settings!$B$12,"Approaching","Not Yet")),"")),"")</f>
        <v/>
      </c>
      <c r="J89" s="30">
        <f>IFERROR(IF('Student Report'!$W79&lt;&gt;"",IF('Student Report'!$W79&gt;=Settings!$B$11,"Mastered",IF('Student Report'!$W79&gt;=Settings!$B$12,"Approaching","Not Yet")),IF('Student Report'!$P79&lt;&gt;"",IF('Student Report'!$P79&gt;=Settings!$B$11,"Mastered",IF('Student Report'!$P79&gt;=Settings!$B$12,"Approaching","Not Yet")),"")),"")</f>
        <v/>
      </c>
      <c r="K89" s="30">
        <f>IFERROR(IF('Student Report'!$X79&lt;&gt;"",IF('Student Report'!$X79&gt;=Settings!$B$11,"Mastered",IF('Student Report'!$X79&gt;=Settings!$B$12,"Approaching","Not Yet")),IF('Student Report'!$Q79&lt;&gt;"",IF('Student Report'!$Q79&gt;=Settings!$B$11,"Mastered",IF('Student Report'!$Q79&gt;=Settings!$B$12,"Approaching","Not Yet")),"")),"")</f>
        <v/>
      </c>
      <c r="L89" s="30">
        <f>IFERROR(IF('Student Report'!$Y79&lt;&gt;"",IF('Student Report'!$Y79&gt;=Settings!$B$11,"Mastered",IF('Student Report'!$Y79&gt;=Settings!$B$12,"Approaching","Not Yet")),IF('Student Report'!$R79&lt;&gt;"",IF('Student Report'!$R79&gt;=Settings!$B$11,"Mastered",IF('Student Report'!$R79&gt;=Settings!$B$12,"Approaching","Not Yet")),"")),"")</f>
        <v/>
      </c>
      <c r="M89" s="30">
        <f>IFERROR(IF('Student Report'!$Z79&lt;&gt;"",IF('Student Report'!$Z79&gt;=Settings!$B$11,"Mastered",IF('Student Report'!$Z79&gt;=Settings!$B$12,"Approaching","Not Yet")),IF('Student Report'!$S79&lt;&gt;"",IF('Student Report'!$S79&gt;=Settings!$B$11,"Mastered",IF('Student Report'!$S79&gt;=Settings!$B$12,"Approaching","Not Yet")),"")),"")</f>
        <v/>
      </c>
      <c r="N89" s="30">
        <f>IFERROR(IF('Student Report'!$AA79&lt;&gt;"",IF('Student Report'!$AA79&gt;=Settings!$B$11,"Mastered",IF('Student Report'!$AA79&gt;=Settings!$B$12,"Approaching","Not Yet")),IF('Student Report'!$T79&lt;&gt;"",IF('Student Report'!$T79&gt;=Settings!$B$11,"Mastered",IF('Student Report'!$T79&gt;=Settings!$B$12,"Approaching","Not Yet")),"")),"")</f>
        <v/>
      </c>
      <c r="O89" s="30">
        <f>IFERROR(IF('Student Report'!$AB79&lt;&gt;"",IF('Student Report'!$AB79&gt;=Settings!$B$11,"Mastered",IF('Student Report'!$AB79&gt;=Settings!$B$12,"Approaching","Not Yet")),IF('Student Report'!$U79&lt;&gt;"",IF('Student Report'!$U79&gt;=Settings!$B$11,"Mastered",IF('Student Report'!$U79&gt;=Settings!$B$12,"Approaching","Not Yet")),"")),"")</f>
        <v/>
      </c>
    </row>
    <row r="90">
      <c r="A90" s="30">
        <f>'Student Report'!$A80</f>
        <v/>
      </c>
      <c r="B90" s="56">
        <f>'Student Report'!$B80</f>
        <v/>
      </c>
      <c r="C90" s="30">
        <f>'Student Report'!$C80</f>
        <v/>
      </c>
      <c r="D90" s="30">
        <f>'Student Report'!$G80</f>
        <v/>
      </c>
      <c r="E90" s="30">
        <f>'Student Report'!$I80</f>
        <v/>
      </c>
      <c r="F90" s="57">
        <f>'Student Report'!$AJ80</f>
        <v/>
      </c>
      <c r="G90" s="30">
        <f>'Student Report'!$AK80</f>
        <v/>
      </c>
      <c r="H90" s="30">
        <f>IF($B90="","",COUNTIF(I90:O90,"Not Yet"))</f>
        <v/>
      </c>
      <c r="I90" s="30">
        <f>IFERROR(IF('Student Report'!$V80&lt;&gt;"",IF('Student Report'!$V80&gt;=Settings!$B$11,"Mastered",IF('Student Report'!$V80&gt;=Settings!$B$12,"Approaching","Not Yet")),IF('Student Report'!$O80&lt;&gt;"",IF('Student Report'!$O80&gt;=Settings!$B$11,"Mastered",IF('Student Report'!$O80&gt;=Settings!$B$12,"Approaching","Not Yet")),"")),"")</f>
        <v/>
      </c>
      <c r="J90" s="30">
        <f>IFERROR(IF('Student Report'!$W80&lt;&gt;"",IF('Student Report'!$W80&gt;=Settings!$B$11,"Mastered",IF('Student Report'!$W80&gt;=Settings!$B$12,"Approaching","Not Yet")),IF('Student Report'!$P80&lt;&gt;"",IF('Student Report'!$P80&gt;=Settings!$B$11,"Mastered",IF('Student Report'!$P80&gt;=Settings!$B$12,"Approaching","Not Yet")),"")),"")</f>
        <v/>
      </c>
      <c r="K90" s="30">
        <f>IFERROR(IF('Student Report'!$X80&lt;&gt;"",IF('Student Report'!$X80&gt;=Settings!$B$11,"Mastered",IF('Student Report'!$X80&gt;=Settings!$B$12,"Approaching","Not Yet")),IF('Student Report'!$Q80&lt;&gt;"",IF('Student Report'!$Q80&gt;=Settings!$B$11,"Mastered",IF('Student Report'!$Q80&gt;=Settings!$B$12,"Approaching","Not Yet")),"")),"")</f>
        <v/>
      </c>
      <c r="L90" s="30">
        <f>IFERROR(IF('Student Report'!$Y80&lt;&gt;"",IF('Student Report'!$Y80&gt;=Settings!$B$11,"Mastered",IF('Student Report'!$Y80&gt;=Settings!$B$12,"Approaching","Not Yet")),IF('Student Report'!$R80&lt;&gt;"",IF('Student Report'!$R80&gt;=Settings!$B$11,"Mastered",IF('Student Report'!$R80&gt;=Settings!$B$12,"Approaching","Not Yet")),"")),"")</f>
        <v/>
      </c>
      <c r="M90" s="30">
        <f>IFERROR(IF('Student Report'!$Z80&lt;&gt;"",IF('Student Report'!$Z80&gt;=Settings!$B$11,"Mastered",IF('Student Report'!$Z80&gt;=Settings!$B$12,"Approaching","Not Yet")),IF('Student Report'!$S80&lt;&gt;"",IF('Student Report'!$S80&gt;=Settings!$B$11,"Mastered",IF('Student Report'!$S80&gt;=Settings!$B$12,"Approaching","Not Yet")),"")),"")</f>
        <v/>
      </c>
      <c r="N90" s="30">
        <f>IFERROR(IF('Student Report'!$AA80&lt;&gt;"",IF('Student Report'!$AA80&gt;=Settings!$B$11,"Mastered",IF('Student Report'!$AA80&gt;=Settings!$B$12,"Approaching","Not Yet")),IF('Student Report'!$T80&lt;&gt;"",IF('Student Report'!$T80&gt;=Settings!$B$11,"Mastered",IF('Student Report'!$T80&gt;=Settings!$B$12,"Approaching","Not Yet")),"")),"")</f>
        <v/>
      </c>
      <c r="O90" s="30">
        <f>IFERROR(IF('Student Report'!$AB80&lt;&gt;"",IF('Student Report'!$AB80&gt;=Settings!$B$11,"Mastered",IF('Student Report'!$AB80&gt;=Settings!$B$12,"Approaching","Not Yet")),IF('Student Report'!$U80&lt;&gt;"",IF('Student Report'!$U80&gt;=Settings!$B$11,"Mastered",IF('Student Report'!$U80&gt;=Settings!$B$12,"Approaching","Not Yet")),"")),"")</f>
        <v/>
      </c>
    </row>
    <row r="91">
      <c r="A91" s="30">
        <f>'Student Report'!$A81</f>
        <v/>
      </c>
      <c r="B91" s="56">
        <f>'Student Report'!$B81</f>
        <v/>
      </c>
      <c r="C91" s="30">
        <f>'Student Report'!$C81</f>
        <v/>
      </c>
      <c r="D91" s="30">
        <f>'Student Report'!$G81</f>
        <v/>
      </c>
      <c r="E91" s="30">
        <f>'Student Report'!$I81</f>
        <v/>
      </c>
      <c r="F91" s="57">
        <f>'Student Report'!$AJ81</f>
        <v/>
      </c>
      <c r="G91" s="30">
        <f>'Student Report'!$AK81</f>
        <v/>
      </c>
      <c r="H91" s="30">
        <f>IF($B91="","",COUNTIF(I91:O91,"Not Yet"))</f>
        <v/>
      </c>
      <c r="I91" s="30">
        <f>IFERROR(IF('Student Report'!$V81&lt;&gt;"",IF('Student Report'!$V81&gt;=Settings!$B$11,"Mastered",IF('Student Report'!$V81&gt;=Settings!$B$12,"Approaching","Not Yet")),IF('Student Report'!$O81&lt;&gt;"",IF('Student Report'!$O81&gt;=Settings!$B$11,"Mastered",IF('Student Report'!$O81&gt;=Settings!$B$12,"Approaching","Not Yet")),"")),"")</f>
        <v/>
      </c>
      <c r="J91" s="30">
        <f>IFERROR(IF('Student Report'!$W81&lt;&gt;"",IF('Student Report'!$W81&gt;=Settings!$B$11,"Mastered",IF('Student Report'!$W81&gt;=Settings!$B$12,"Approaching","Not Yet")),IF('Student Report'!$P81&lt;&gt;"",IF('Student Report'!$P81&gt;=Settings!$B$11,"Mastered",IF('Student Report'!$P81&gt;=Settings!$B$12,"Approaching","Not Yet")),"")),"")</f>
        <v/>
      </c>
      <c r="K91" s="30">
        <f>IFERROR(IF('Student Report'!$X81&lt;&gt;"",IF('Student Report'!$X81&gt;=Settings!$B$11,"Mastered",IF('Student Report'!$X81&gt;=Settings!$B$12,"Approaching","Not Yet")),IF('Student Report'!$Q81&lt;&gt;"",IF('Student Report'!$Q81&gt;=Settings!$B$11,"Mastered",IF('Student Report'!$Q81&gt;=Settings!$B$12,"Approaching","Not Yet")),"")),"")</f>
        <v/>
      </c>
      <c r="L91" s="30">
        <f>IFERROR(IF('Student Report'!$Y81&lt;&gt;"",IF('Student Report'!$Y81&gt;=Settings!$B$11,"Mastered",IF('Student Report'!$Y81&gt;=Settings!$B$12,"Approaching","Not Yet")),IF('Student Report'!$R81&lt;&gt;"",IF('Student Report'!$R81&gt;=Settings!$B$11,"Mastered",IF('Student Report'!$R81&gt;=Settings!$B$12,"Approaching","Not Yet")),"")),"")</f>
        <v/>
      </c>
      <c r="M91" s="30">
        <f>IFERROR(IF('Student Report'!$Z81&lt;&gt;"",IF('Student Report'!$Z81&gt;=Settings!$B$11,"Mastered",IF('Student Report'!$Z81&gt;=Settings!$B$12,"Approaching","Not Yet")),IF('Student Report'!$S81&lt;&gt;"",IF('Student Report'!$S81&gt;=Settings!$B$11,"Mastered",IF('Student Report'!$S81&gt;=Settings!$B$12,"Approaching","Not Yet")),"")),"")</f>
        <v/>
      </c>
      <c r="N91" s="30">
        <f>IFERROR(IF('Student Report'!$AA81&lt;&gt;"",IF('Student Report'!$AA81&gt;=Settings!$B$11,"Mastered",IF('Student Report'!$AA81&gt;=Settings!$B$12,"Approaching","Not Yet")),IF('Student Report'!$T81&lt;&gt;"",IF('Student Report'!$T81&gt;=Settings!$B$11,"Mastered",IF('Student Report'!$T81&gt;=Settings!$B$12,"Approaching","Not Yet")),"")),"")</f>
        <v/>
      </c>
      <c r="O91" s="30">
        <f>IFERROR(IF('Student Report'!$AB81&lt;&gt;"",IF('Student Report'!$AB81&gt;=Settings!$B$11,"Mastered",IF('Student Report'!$AB81&gt;=Settings!$B$12,"Approaching","Not Yet")),IF('Student Report'!$U81&lt;&gt;"",IF('Student Report'!$U81&gt;=Settings!$B$11,"Mastered",IF('Student Report'!$U81&gt;=Settings!$B$12,"Approaching","Not Yet")),"")),"")</f>
        <v/>
      </c>
    </row>
    <row r="92">
      <c r="A92" s="30">
        <f>'Student Report'!$A82</f>
        <v/>
      </c>
      <c r="B92" s="56">
        <f>'Student Report'!$B82</f>
        <v/>
      </c>
      <c r="C92" s="30">
        <f>'Student Report'!$C82</f>
        <v/>
      </c>
      <c r="D92" s="30">
        <f>'Student Report'!$G82</f>
        <v/>
      </c>
      <c r="E92" s="30">
        <f>'Student Report'!$I82</f>
        <v/>
      </c>
      <c r="F92" s="57">
        <f>'Student Report'!$AJ82</f>
        <v/>
      </c>
      <c r="G92" s="30">
        <f>'Student Report'!$AK82</f>
        <v/>
      </c>
      <c r="H92" s="30">
        <f>IF($B92="","",COUNTIF(I92:O92,"Not Yet"))</f>
        <v/>
      </c>
      <c r="I92" s="30">
        <f>IFERROR(IF('Student Report'!$V82&lt;&gt;"",IF('Student Report'!$V82&gt;=Settings!$B$11,"Mastered",IF('Student Report'!$V82&gt;=Settings!$B$12,"Approaching","Not Yet")),IF('Student Report'!$O82&lt;&gt;"",IF('Student Report'!$O82&gt;=Settings!$B$11,"Mastered",IF('Student Report'!$O82&gt;=Settings!$B$12,"Approaching","Not Yet")),"")),"")</f>
        <v/>
      </c>
      <c r="J92" s="30">
        <f>IFERROR(IF('Student Report'!$W82&lt;&gt;"",IF('Student Report'!$W82&gt;=Settings!$B$11,"Mastered",IF('Student Report'!$W82&gt;=Settings!$B$12,"Approaching","Not Yet")),IF('Student Report'!$P82&lt;&gt;"",IF('Student Report'!$P82&gt;=Settings!$B$11,"Mastered",IF('Student Report'!$P82&gt;=Settings!$B$12,"Approaching","Not Yet")),"")),"")</f>
        <v/>
      </c>
      <c r="K92" s="30">
        <f>IFERROR(IF('Student Report'!$X82&lt;&gt;"",IF('Student Report'!$X82&gt;=Settings!$B$11,"Mastered",IF('Student Report'!$X82&gt;=Settings!$B$12,"Approaching","Not Yet")),IF('Student Report'!$Q82&lt;&gt;"",IF('Student Report'!$Q82&gt;=Settings!$B$11,"Mastered",IF('Student Report'!$Q82&gt;=Settings!$B$12,"Approaching","Not Yet")),"")),"")</f>
        <v/>
      </c>
      <c r="L92" s="30">
        <f>IFERROR(IF('Student Report'!$Y82&lt;&gt;"",IF('Student Report'!$Y82&gt;=Settings!$B$11,"Mastered",IF('Student Report'!$Y82&gt;=Settings!$B$12,"Approaching","Not Yet")),IF('Student Report'!$R82&lt;&gt;"",IF('Student Report'!$R82&gt;=Settings!$B$11,"Mastered",IF('Student Report'!$R82&gt;=Settings!$B$12,"Approaching","Not Yet")),"")),"")</f>
        <v/>
      </c>
      <c r="M92" s="30">
        <f>IFERROR(IF('Student Report'!$Z82&lt;&gt;"",IF('Student Report'!$Z82&gt;=Settings!$B$11,"Mastered",IF('Student Report'!$Z82&gt;=Settings!$B$12,"Approaching","Not Yet")),IF('Student Report'!$S82&lt;&gt;"",IF('Student Report'!$S82&gt;=Settings!$B$11,"Mastered",IF('Student Report'!$S82&gt;=Settings!$B$12,"Approaching","Not Yet")),"")),"")</f>
        <v/>
      </c>
      <c r="N92" s="30">
        <f>IFERROR(IF('Student Report'!$AA82&lt;&gt;"",IF('Student Report'!$AA82&gt;=Settings!$B$11,"Mastered",IF('Student Report'!$AA82&gt;=Settings!$B$12,"Approaching","Not Yet")),IF('Student Report'!$T82&lt;&gt;"",IF('Student Report'!$T82&gt;=Settings!$B$11,"Mastered",IF('Student Report'!$T82&gt;=Settings!$B$12,"Approaching","Not Yet")),"")),"")</f>
        <v/>
      </c>
      <c r="O92" s="30">
        <f>IFERROR(IF('Student Report'!$AB82&lt;&gt;"",IF('Student Report'!$AB82&gt;=Settings!$B$11,"Mastered",IF('Student Report'!$AB82&gt;=Settings!$B$12,"Approaching","Not Yet")),IF('Student Report'!$U82&lt;&gt;"",IF('Student Report'!$U82&gt;=Settings!$B$11,"Mastered",IF('Student Report'!$U82&gt;=Settings!$B$12,"Approaching","Not Yet")),"")),"")</f>
        <v/>
      </c>
    </row>
    <row r="93">
      <c r="A93" s="30">
        <f>'Student Report'!$A83</f>
        <v/>
      </c>
      <c r="B93" s="56">
        <f>'Student Report'!$B83</f>
        <v/>
      </c>
      <c r="C93" s="30">
        <f>'Student Report'!$C83</f>
        <v/>
      </c>
      <c r="D93" s="30">
        <f>'Student Report'!$G83</f>
        <v/>
      </c>
      <c r="E93" s="30">
        <f>'Student Report'!$I83</f>
        <v/>
      </c>
      <c r="F93" s="57">
        <f>'Student Report'!$AJ83</f>
        <v/>
      </c>
      <c r="G93" s="30">
        <f>'Student Report'!$AK83</f>
        <v/>
      </c>
      <c r="H93" s="30">
        <f>IF($B93="","",COUNTIF(I93:O93,"Not Yet"))</f>
        <v/>
      </c>
      <c r="I93" s="30">
        <f>IFERROR(IF('Student Report'!$V83&lt;&gt;"",IF('Student Report'!$V83&gt;=Settings!$B$11,"Mastered",IF('Student Report'!$V83&gt;=Settings!$B$12,"Approaching","Not Yet")),IF('Student Report'!$O83&lt;&gt;"",IF('Student Report'!$O83&gt;=Settings!$B$11,"Mastered",IF('Student Report'!$O83&gt;=Settings!$B$12,"Approaching","Not Yet")),"")),"")</f>
        <v/>
      </c>
      <c r="J93" s="30">
        <f>IFERROR(IF('Student Report'!$W83&lt;&gt;"",IF('Student Report'!$W83&gt;=Settings!$B$11,"Mastered",IF('Student Report'!$W83&gt;=Settings!$B$12,"Approaching","Not Yet")),IF('Student Report'!$P83&lt;&gt;"",IF('Student Report'!$P83&gt;=Settings!$B$11,"Mastered",IF('Student Report'!$P83&gt;=Settings!$B$12,"Approaching","Not Yet")),"")),"")</f>
        <v/>
      </c>
      <c r="K93" s="30">
        <f>IFERROR(IF('Student Report'!$X83&lt;&gt;"",IF('Student Report'!$X83&gt;=Settings!$B$11,"Mastered",IF('Student Report'!$X83&gt;=Settings!$B$12,"Approaching","Not Yet")),IF('Student Report'!$Q83&lt;&gt;"",IF('Student Report'!$Q83&gt;=Settings!$B$11,"Mastered",IF('Student Report'!$Q83&gt;=Settings!$B$12,"Approaching","Not Yet")),"")),"")</f>
        <v/>
      </c>
      <c r="L93" s="30">
        <f>IFERROR(IF('Student Report'!$Y83&lt;&gt;"",IF('Student Report'!$Y83&gt;=Settings!$B$11,"Mastered",IF('Student Report'!$Y83&gt;=Settings!$B$12,"Approaching","Not Yet")),IF('Student Report'!$R83&lt;&gt;"",IF('Student Report'!$R83&gt;=Settings!$B$11,"Mastered",IF('Student Report'!$R83&gt;=Settings!$B$12,"Approaching","Not Yet")),"")),"")</f>
        <v/>
      </c>
      <c r="M93" s="30">
        <f>IFERROR(IF('Student Report'!$Z83&lt;&gt;"",IF('Student Report'!$Z83&gt;=Settings!$B$11,"Mastered",IF('Student Report'!$Z83&gt;=Settings!$B$12,"Approaching","Not Yet")),IF('Student Report'!$S83&lt;&gt;"",IF('Student Report'!$S83&gt;=Settings!$B$11,"Mastered",IF('Student Report'!$S83&gt;=Settings!$B$12,"Approaching","Not Yet")),"")),"")</f>
        <v/>
      </c>
      <c r="N93" s="30">
        <f>IFERROR(IF('Student Report'!$AA83&lt;&gt;"",IF('Student Report'!$AA83&gt;=Settings!$B$11,"Mastered",IF('Student Report'!$AA83&gt;=Settings!$B$12,"Approaching","Not Yet")),IF('Student Report'!$T83&lt;&gt;"",IF('Student Report'!$T83&gt;=Settings!$B$11,"Mastered",IF('Student Report'!$T83&gt;=Settings!$B$12,"Approaching","Not Yet")),"")),"")</f>
        <v/>
      </c>
      <c r="O93" s="30">
        <f>IFERROR(IF('Student Report'!$AB83&lt;&gt;"",IF('Student Report'!$AB83&gt;=Settings!$B$11,"Mastered",IF('Student Report'!$AB83&gt;=Settings!$B$12,"Approaching","Not Yet")),IF('Student Report'!$U83&lt;&gt;"",IF('Student Report'!$U83&gt;=Settings!$B$11,"Mastered",IF('Student Report'!$U83&gt;=Settings!$B$12,"Approaching","Not Yet")),"")),"")</f>
        <v/>
      </c>
    </row>
    <row r="94">
      <c r="A94" s="30">
        <f>'Student Report'!$A84</f>
        <v/>
      </c>
      <c r="B94" s="56">
        <f>'Student Report'!$B84</f>
        <v/>
      </c>
      <c r="C94" s="30">
        <f>'Student Report'!$C84</f>
        <v/>
      </c>
      <c r="D94" s="30">
        <f>'Student Report'!$G84</f>
        <v/>
      </c>
      <c r="E94" s="30">
        <f>'Student Report'!$I84</f>
        <v/>
      </c>
      <c r="F94" s="57">
        <f>'Student Report'!$AJ84</f>
        <v/>
      </c>
      <c r="G94" s="30">
        <f>'Student Report'!$AK84</f>
        <v/>
      </c>
      <c r="H94" s="30">
        <f>IF($B94="","",COUNTIF(I94:O94,"Not Yet"))</f>
        <v/>
      </c>
      <c r="I94" s="30">
        <f>IFERROR(IF('Student Report'!$V84&lt;&gt;"",IF('Student Report'!$V84&gt;=Settings!$B$11,"Mastered",IF('Student Report'!$V84&gt;=Settings!$B$12,"Approaching","Not Yet")),IF('Student Report'!$O84&lt;&gt;"",IF('Student Report'!$O84&gt;=Settings!$B$11,"Mastered",IF('Student Report'!$O84&gt;=Settings!$B$12,"Approaching","Not Yet")),"")),"")</f>
        <v/>
      </c>
      <c r="J94" s="30">
        <f>IFERROR(IF('Student Report'!$W84&lt;&gt;"",IF('Student Report'!$W84&gt;=Settings!$B$11,"Mastered",IF('Student Report'!$W84&gt;=Settings!$B$12,"Approaching","Not Yet")),IF('Student Report'!$P84&lt;&gt;"",IF('Student Report'!$P84&gt;=Settings!$B$11,"Mastered",IF('Student Report'!$P84&gt;=Settings!$B$12,"Approaching","Not Yet")),"")),"")</f>
        <v/>
      </c>
      <c r="K94" s="30">
        <f>IFERROR(IF('Student Report'!$X84&lt;&gt;"",IF('Student Report'!$X84&gt;=Settings!$B$11,"Mastered",IF('Student Report'!$X84&gt;=Settings!$B$12,"Approaching","Not Yet")),IF('Student Report'!$Q84&lt;&gt;"",IF('Student Report'!$Q84&gt;=Settings!$B$11,"Mastered",IF('Student Report'!$Q84&gt;=Settings!$B$12,"Approaching","Not Yet")),"")),"")</f>
        <v/>
      </c>
      <c r="L94" s="30">
        <f>IFERROR(IF('Student Report'!$Y84&lt;&gt;"",IF('Student Report'!$Y84&gt;=Settings!$B$11,"Mastered",IF('Student Report'!$Y84&gt;=Settings!$B$12,"Approaching","Not Yet")),IF('Student Report'!$R84&lt;&gt;"",IF('Student Report'!$R84&gt;=Settings!$B$11,"Mastered",IF('Student Report'!$R84&gt;=Settings!$B$12,"Approaching","Not Yet")),"")),"")</f>
        <v/>
      </c>
      <c r="M94" s="30">
        <f>IFERROR(IF('Student Report'!$Z84&lt;&gt;"",IF('Student Report'!$Z84&gt;=Settings!$B$11,"Mastered",IF('Student Report'!$Z84&gt;=Settings!$B$12,"Approaching","Not Yet")),IF('Student Report'!$S84&lt;&gt;"",IF('Student Report'!$S84&gt;=Settings!$B$11,"Mastered",IF('Student Report'!$S84&gt;=Settings!$B$12,"Approaching","Not Yet")),"")),"")</f>
        <v/>
      </c>
      <c r="N94" s="30">
        <f>IFERROR(IF('Student Report'!$AA84&lt;&gt;"",IF('Student Report'!$AA84&gt;=Settings!$B$11,"Mastered",IF('Student Report'!$AA84&gt;=Settings!$B$12,"Approaching","Not Yet")),IF('Student Report'!$T84&lt;&gt;"",IF('Student Report'!$T84&gt;=Settings!$B$11,"Mastered",IF('Student Report'!$T84&gt;=Settings!$B$12,"Approaching","Not Yet")),"")),"")</f>
        <v/>
      </c>
      <c r="O94" s="30">
        <f>IFERROR(IF('Student Report'!$AB84&lt;&gt;"",IF('Student Report'!$AB84&gt;=Settings!$B$11,"Mastered",IF('Student Report'!$AB84&gt;=Settings!$B$12,"Approaching","Not Yet")),IF('Student Report'!$U84&lt;&gt;"",IF('Student Report'!$U84&gt;=Settings!$B$11,"Mastered",IF('Student Report'!$U84&gt;=Settings!$B$12,"Approaching","Not Yet")),"")),"")</f>
        <v/>
      </c>
    </row>
    <row r="95">
      <c r="A95" s="30">
        <f>'Student Report'!$A85</f>
        <v/>
      </c>
      <c r="B95" s="56">
        <f>'Student Report'!$B85</f>
        <v/>
      </c>
      <c r="C95" s="30">
        <f>'Student Report'!$C85</f>
        <v/>
      </c>
      <c r="D95" s="30">
        <f>'Student Report'!$G85</f>
        <v/>
      </c>
      <c r="E95" s="30">
        <f>'Student Report'!$I85</f>
        <v/>
      </c>
      <c r="F95" s="57">
        <f>'Student Report'!$AJ85</f>
        <v/>
      </c>
      <c r="G95" s="30">
        <f>'Student Report'!$AK85</f>
        <v/>
      </c>
      <c r="H95" s="30">
        <f>IF($B95="","",COUNTIF(I95:O95,"Not Yet"))</f>
        <v/>
      </c>
      <c r="I95" s="30">
        <f>IFERROR(IF('Student Report'!$V85&lt;&gt;"",IF('Student Report'!$V85&gt;=Settings!$B$11,"Mastered",IF('Student Report'!$V85&gt;=Settings!$B$12,"Approaching","Not Yet")),IF('Student Report'!$O85&lt;&gt;"",IF('Student Report'!$O85&gt;=Settings!$B$11,"Mastered",IF('Student Report'!$O85&gt;=Settings!$B$12,"Approaching","Not Yet")),"")),"")</f>
        <v/>
      </c>
      <c r="J95" s="30">
        <f>IFERROR(IF('Student Report'!$W85&lt;&gt;"",IF('Student Report'!$W85&gt;=Settings!$B$11,"Mastered",IF('Student Report'!$W85&gt;=Settings!$B$12,"Approaching","Not Yet")),IF('Student Report'!$P85&lt;&gt;"",IF('Student Report'!$P85&gt;=Settings!$B$11,"Mastered",IF('Student Report'!$P85&gt;=Settings!$B$12,"Approaching","Not Yet")),"")),"")</f>
        <v/>
      </c>
      <c r="K95" s="30">
        <f>IFERROR(IF('Student Report'!$X85&lt;&gt;"",IF('Student Report'!$X85&gt;=Settings!$B$11,"Mastered",IF('Student Report'!$X85&gt;=Settings!$B$12,"Approaching","Not Yet")),IF('Student Report'!$Q85&lt;&gt;"",IF('Student Report'!$Q85&gt;=Settings!$B$11,"Mastered",IF('Student Report'!$Q85&gt;=Settings!$B$12,"Approaching","Not Yet")),"")),"")</f>
        <v/>
      </c>
      <c r="L95" s="30">
        <f>IFERROR(IF('Student Report'!$Y85&lt;&gt;"",IF('Student Report'!$Y85&gt;=Settings!$B$11,"Mastered",IF('Student Report'!$Y85&gt;=Settings!$B$12,"Approaching","Not Yet")),IF('Student Report'!$R85&lt;&gt;"",IF('Student Report'!$R85&gt;=Settings!$B$11,"Mastered",IF('Student Report'!$R85&gt;=Settings!$B$12,"Approaching","Not Yet")),"")),"")</f>
        <v/>
      </c>
      <c r="M95" s="30">
        <f>IFERROR(IF('Student Report'!$Z85&lt;&gt;"",IF('Student Report'!$Z85&gt;=Settings!$B$11,"Mastered",IF('Student Report'!$Z85&gt;=Settings!$B$12,"Approaching","Not Yet")),IF('Student Report'!$S85&lt;&gt;"",IF('Student Report'!$S85&gt;=Settings!$B$11,"Mastered",IF('Student Report'!$S85&gt;=Settings!$B$12,"Approaching","Not Yet")),"")),"")</f>
        <v/>
      </c>
      <c r="N95" s="30">
        <f>IFERROR(IF('Student Report'!$AA85&lt;&gt;"",IF('Student Report'!$AA85&gt;=Settings!$B$11,"Mastered",IF('Student Report'!$AA85&gt;=Settings!$B$12,"Approaching","Not Yet")),IF('Student Report'!$T85&lt;&gt;"",IF('Student Report'!$T85&gt;=Settings!$B$11,"Mastered",IF('Student Report'!$T85&gt;=Settings!$B$12,"Approaching","Not Yet")),"")),"")</f>
        <v/>
      </c>
      <c r="O95" s="30">
        <f>IFERROR(IF('Student Report'!$AB85&lt;&gt;"",IF('Student Report'!$AB85&gt;=Settings!$B$11,"Mastered",IF('Student Report'!$AB85&gt;=Settings!$B$12,"Approaching","Not Yet")),IF('Student Report'!$U85&lt;&gt;"",IF('Student Report'!$U85&gt;=Settings!$B$11,"Mastered",IF('Student Report'!$U85&gt;=Settings!$B$12,"Approaching","Not Yet")),"")),"")</f>
        <v/>
      </c>
    </row>
    <row r="96">
      <c r="A96" s="30">
        <f>'Student Report'!$A86</f>
        <v/>
      </c>
      <c r="B96" s="56">
        <f>'Student Report'!$B86</f>
        <v/>
      </c>
      <c r="C96" s="30">
        <f>'Student Report'!$C86</f>
        <v/>
      </c>
      <c r="D96" s="30">
        <f>'Student Report'!$G86</f>
        <v/>
      </c>
      <c r="E96" s="30">
        <f>'Student Report'!$I86</f>
        <v/>
      </c>
      <c r="F96" s="57">
        <f>'Student Report'!$AJ86</f>
        <v/>
      </c>
      <c r="G96" s="30">
        <f>'Student Report'!$AK86</f>
        <v/>
      </c>
      <c r="H96" s="30">
        <f>IF($B96="","",COUNTIF(I96:O96,"Not Yet"))</f>
        <v/>
      </c>
      <c r="I96" s="30">
        <f>IFERROR(IF('Student Report'!$V86&lt;&gt;"",IF('Student Report'!$V86&gt;=Settings!$B$11,"Mastered",IF('Student Report'!$V86&gt;=Settings!$B$12,"Approaching","Not Yet")),IF('Student Report'!$O86&lt;&gt;"",IF('Student Report'!$O86&gt;=Settings!$B$11,"Mastered",IF('Student Report'!$O86&gt;=Settings!$B$12,"Approaching","Not Yet")),"")),"")</f>
        <v/>
      </c>
      <c r="J96" s="30">
        <f>IFERROR(IF('Student Report'!$W86&lt;&gt;"",IF('Student Report'!$W86&gt;=Settings!$B$11,"Mastered",IF('Student Report'!$W86&gt;=Settings!$B$12,"Approaching","Not Yet")),IF('Student Report'!$P86&lt;&gt;"",IF('Student Report'!$P86&gt;=Settings!$B$11,"Mastered",IF('Student Report'!$P86&gt;=Settings!$B$12,"Approaching","Not Yet")),"")),"")</f>
        <v/>
      </c>
      <c r="K96" s="30">
        <f>IFERROR(IF('Student Report'!$X86&lt;&gt;"",IF('Student Report'!$X86&gt;=Settings!$B$11,"Mastered",IF('Student Report'!$X86&gt;=Settings!$B$12,"Approaching","Not Yet")),IF('Student Report'!$Q86&lt;&gt;"",IF('Student Report'!$Q86&gt;=Settings!$B$11,"Mastered",IF('Student Report'!$Q86&gt;=Settings!$B$12,"Approaching","Not Yet")),"")),"")</f>
        <v/>
      </c>
      <c r="L96" s="30">
        <f>IFERROR(IF('Student Report'!$Y86&lt;&gt;"",IF('Student Report'!$Y86&gt;=Settings!$B$11,"Mastered",IF('Student Report'!$Y86&gt;=Settings!$B$12,"Approaching","Not Yet")),IF('Student Report'!$R86&lt;&gt;"",IF('Student Report'!$R86&gt;=Settings!$B$11,"Mastered",IF('Student Report'!$R86&gt;=Settings!$B$12,"Approaching","Not Yet")),"")),"")</f>
        <v/>
      </c>
      <c r="M96" s="30">
        <f>IFERROR(IF('Student Report'!$Z86&lt;&gt;"",IF('Student Report'!$Z86&gt;=Settings!$B$11,"Mastered",IF('Student Report'!$Z86&gt;=Settings!$B$12,"Approaching","Not Yet")),IF('Student Report'!$S86&lt;&gt;"",IF('Student Report'!$S86&gt;=Settings!$B$11,"Mastered",IF('Student Report'!$S86&gt;=Settings!$B$12,"Approaching","Not Yet")),"")),"")</f>
        <v/>
      </c>
      <c r="N96" s="30">
        <f>IFERROR(IF('Student Report'!$AA86&lt;&gt;"",IF('Student Report'!$AA86&gt;=Settings!$B$11,"Mastered",IF('Student Report'!$AA86&gt;=Settings!$B$12,"Approaching","Not Yet")),IF('Student Report'!$T86&lt;&gt;"",IF('Student Report'!$T86&gt;=Settings!$B$11,"Mastered",IF('Student Report'!$T86&gt;=Settings!$B$12,"Approaching","Not Yet")),"")),"")</f>
        <v/>
      </c>
      <c r="O96" s="30">
        <f>IFERROR(IF('Student Report'!$AB86&lt;&gt;"",IF('Student Report'!$AB86&gt;=Settings!$B$11,"Mastered",IF('Student Report'!$AB86&gt;=Settings!$B$12,"Approaching","Not Yet")),IF('Student Report'!$U86&lt;&gt;"",IF('Student Report'!$U86&gt;=Settings!$B$11,"Mastered",IF('Student Report'!$U86&gt;=Settings!$B$12,"Approaching","Not Yet")),"")),"")</f>
        <v/>
      </c>
    </row>
    <row r="97">
      <c r="A97" s="30">
        <f>'Student Report'!$A87</f>
        <v/>
      </c>
      <c r="B97" s="56">
        <f>'Student Report'!$B87</f>
        <v/>
      </c>
      <c r="C97" s="30">
        <f>'Student Report'!$C87</f>
        <v/>
      </c>
      <c r="D97" s="30">
        <f>'Student Report'!$G87</f>
        <v/>
      </c>
      <c r="E97" s="30">
        <f>'Student Report'!$I87</f>
        <v/>
      </c>
      <c r="F97" s="57">
        <f>'Student Report'!$AJ87</f>
        <v/>
      </c>
      <c r="G97" s="30">
        <f>'Student Report'!$AK87</f>
        <v/>
      </c>
      <c r="H97" s="30">
        <f>IF($B97="","",COUNTIF(I97:O97,"Not Yet"))</f>
        <v/>
      </c>
      <c r="I97" s="30">
        <f>IFERROR(IF('Student Report'!$V87&lt;&gt;"",IF('Student Report'!$V87&gt;=Settings!$B$11,"Mastered",IF('Student Report'!$V87&gt;=Settings!$B$12,"Approaching","Not Yet")),IF('Student Report'!$O87&lt;&gt;"",IF('Student Report'!$O87&gt;=Settings!$B$11,"Mastered",IF('Student Report'!$O87&gt;=Settings!$B$12,"Approaching","Not Yet")),"")),"")</f>
        <v/>
      </c>
      <c r="J97" s="30">
        <f>IFERROR(IF('Student Report'!$W87&lt;&gt;"",IF('Student Report'!$W87&gt;=Settings!$B$11,"Mastered",IF('Student Report'!$W87&gt;=Settings!$B$12,"Approaching","Not Yet")),IF('Student Report'!$P87&lt;&gt;"",IF('Student Report'!$P87&gt;=Settings!$B$11,"Mastered",IF('Student Report'!$P87&gt;=Settings!$B$12,"Approaching","Not Yet")),"")),"")</f>
        <v/>
      </c>
      <c r="K97" s="30">
        <f>IFERROR(IF('Student Report'!$X87&lt;&gt;"",IF('Student Report'!$X87&gt;=Settings!$B$11,"Mastered",IF('Student Report'!$X87&gt;=Settings!$B$12,"Approaching","Not Yet")),IF('Student Report'!$Q87&lt;&gt;"",IF('Student Report'!$Q87&gt;=Settings!$B$11,"Mastered",IF('Student Report'!$Q87&gt;=Settings!$B$12,"Approaching","Not Yet")),"")),"")</f>
        <v/>
      </c>
      <c r="L97" s="30">
        <f>IFERROR(IF('Student Report'!$Y87&lt;&gt;"",IF('Student Report'!$Y87&gt;=Settings!$B$11,"Mastered",IF('Student Report'!$Y87&gt;=Settings!$B$12,"Approaching","Not Yet")),IF('Student Report'!$R87&lt;&gt;"",IF('Student Report'!$R87&gt;=Settings!$B$11,"Mastered",IF('Student Report'!$R87&gt;=Settings!$B$12,"Approaching","Not Yet")),"")),"")</f>
        <v/>
      </c>
      <c r="M97" s="30">
        <f>IFERROR(IF('Student Report'!$Z87&lt;&gt;"",IF('Student Report'!$Z87&gt;=Settings!$B$11,"Mastered",IF('Student Report'!$Z87&gt;=Settings!$B$12,"Approaching","Not Yet")),IF('Student Report'!$S87&lt;&gt;"",IF('Student Report'!$S87&gt;=Settings!$B$11,"Mastered",IF('Student Report'!$S87&gt;=Settings!$B$12,"Approaching","Not Yet")),"")),"")</f>
        <v/>
      </c>
      <c r="N97" s="30">
        <f>IFERROR(IF('Student Report'!$AA87&lt;&gt;"",IF('Student Report'!$AA87&gt;=Settings!$B$11,"Mastered",IF('Student Report'!$AA87&gt;=Settings!$B$12,"Approaching","Not Yet")),IF('Student Report'!$T87&lt;&gt;"",IF('Student Report'!$T87&gt;=Settings!$B$11,"Mastered",IF('Student Report'!$T87&gt;=Settings!$B$12,"Approaching","Not Yet")),"")),"")</f>
        <v/>
      </c>
      <c r="O97" s="30">
        <f>IFERROR(IF('Student Report'!$AB87&lt;&gt;"",IF('Student Report'!$AB87&gt;=Settings!$B$11,"Mastered",IF('Student Report'!$AB87&gt;=Settings!$B$12,"Approaching","Not Yet")),IF('Student Report'!$U87&lt;&gt;"",IF('Student Report'!$U87&gt;=Settings!$B$11,"Mastered",IF('Student Report'!$U87&gt;=Settings!$B$12,"Approaching","Not Yet")),"")),"")</f>
        <v/>
      </c>
    </row>
    <row r="98">
      <c r="A98" s="30">
        <f>'Student Report'!$A88</f>
        <v/>
      </c>
      <c r="B98" s="56">
        <f>'Student Report'!$B88</f>
        <v/>
      </c>
      <c r="C98" s="30">
        <f>'Student Report'!$C88</f>
        <v/>
      </c>
      <c r="D98" s="30">
        <f>'Student Report'!$G88</f>
        <v/>
      </c>
      <c r="E98" s="30">
        <f>'Student Report'!$I88</f>
        <v/>
      </c>
      <c r="F98" s="57">
        <f>'Student Report'!$AJ88</f>
        <v/>
      </c>
      <c r="G98" s="30">
        <f>'Student Report'!$AK88</f>
        <v/>
      </c>
      <c r="H98" s="30">
        <f>IF($B98="","",COUNTIF(I98:O98,"Not Yet"))</f>
        <v/>
      </c>
      <c r="I98" s="30">
        <f>IFERROR(IF('Student Report'!$V88&lt;&gt;"",IF('Student Report'!$V88&gt;=Settings!$B$11,"Mastered",IF('Student Report'!$V88&gt;=Settings!$B$12,"Approaching","Not Yet")),IF('Student Report'!$O88&lt;&gt;"",IF('Student Report'!$O88&gt;=Settings!$B$11,"Mastered",IF('Student Report'!$O88&gt;=Settings!$B$12,"Approaching","Not Yet")),"")),"")</f>
        <v/>
      </c>
      <c r="J98" s="30">
        <f>IFERROR(IF('Student Report'!$W88&lt;&gt;"",IF('Student Report'!$W88&gt;=Settings!$B$11,"Mastered",IF('Student Report'!$W88&gt;=Settings!$B$12,"Approaching","Not Yet")),IF('Student Report'!$P88&lt;&gt;"",IF('Student Report'!$P88&gt;=Settings!$B$11,"Mastered",IF('Student Report'!$P88&gt;=Settings!$B$12,"Approaching","Not Yet")),"")),"")</f>
        <v/>
      </c>
      <c r="K98" s="30">
        <f>IFERROR(IF('Student Report'!$X88&lt;&gt;"",IF('Student Report'!$X88&gt;=Settings!$B$11,"Mastered",IF('Student Report'!$X88&gt;=Settings!$B$12,"Approaching","Not Yet")),IF('Student Report'!$Q88&lt;&gt;"",IF('Student Report'!$Q88&gt;=Settings!$B$11,"Mastered",IF('Student Report'!$Q88&gt;=Settings!$B$12,"Approaching","Not Yet")),"")),"")</f>
        <v/>
      </c>
      <c r="L98" s="30">
        <f>IFERROR(IF('Student Report'!$Y88&lt;&gt;"",IF('Student Report'!$Y88&gt;=Settings!$B$11,"Mastered",IF('Student Report'!$Y88&gt;=Settings!$B$12,"Approaching","Not Yet")),IF('Student Report'!$R88&lt;&gt;"",IF('Student Report'!$R88&gt;=Settings!$B$11,"Mastered",IF('Student Report'!$R88&gt;=Settings!$B$12,"Approaching","Not Yet")),"")),"")</f>
        <v/>
      </c>
      <c r="M98" s="30">
        <f>IFERROR(IF('Student Report'!$Z88&lt;&gt;"",IF('Student Report'!$Z88&gt;=Settings!$B$11,"Mastered",IF('Student Report'!$Z88&gt;=Settings!$B$12,"Approaching","Not Yet")),IF('Student Report'!$S88&lt;&gt;"",IF('Student Report'!$S88&gt;=Settings!$B$11,"Mastered",IF('Student Report'!$S88&gt;=Settings!$B$12,"Approaching","Not Yet")),"")),"")</f>
        <v/>
      </c>
      <c r="N98" s="30">
        <f>IFERROR(IF('Student Report'!$AA88&lt;&gt;"",IF('Student Report'!$AA88&gt;=Settings!$B$11,"Mastered",IF('Student Report'!$AA88&gt;=Settings!$B$12,"Approaching","Not Yet")),IF('Student Report'!$T88&lt;&gt;"",IF('Student Report'!$T88&gt;=Settings!$B$11,"Mastered",IF('Student Report'!$T88&gt;=Settings!$B$12,"Approaching","Not Yet")),"")),"")</f>
        <v/>
      </c>
      <c r="O98" s="30">
        <f>IFERROR(IF('Student Report'!$AB88&lt;&gt;"",IF('Student Report'!$AB88&gt;=Settings!$B$11,"Mastered",IF('Student Report'!$AB88&gt;=Settings!$B$12,"Approaching","Not Yet")),IF('Student Report'!$U88&lt;&gt;"",IF('Student Report'!$U88&gt;=Settings!$B$11,"Mastered",IF('Student Report'!$U88&gt;=Settings!$B$12,"Approaching","Not Yet")),"")),"")</f>
        <v/>
      </c>
    </row>
    <row r="99">
      <c r="A99" s="30">
        <f>'Student Report'!$A89</f>
        <v/>
      </c>
      <c r="B99" s="56">
        <f>'Student Report'!$B89</f>
        <v/>
      </c>
      <c r="C99" s="30">
        <f>'Student Report'!$C89</f>
        <v/>
      </c>
      <c r="D99" s="30">
        <f>'Student Report'!$G89</f>
        <v/>
      </c>
      <c r="E99" s="30">
        <f>'Student Report'!$I89</f>
        <v/>
      </c>
      <c r="F99" s="57">
        <f>'Student Report'!$AJ89</f>
        <v/>
      </c>
      <c r="G99" s="30">
        <f>'Student Report'!$AK89</f>
        <v/>
      </c>
      <c r="H99" s="30">
        <f>IF($B99="","",COUNTIF(I99:O99,"Not Yet"))</f>
        <v/>
      </c>
      <c r="I99" s="30">
        <f>IFERROR(IF('Student Report'!$V89&lt;&gt;"",IF('Student Report'!$V89&gt;=Settings!$B$11,"Mastered",IF('Student Report'!$V89&gt;=Settings!$B$12,"Approaching","Not Yet")),IF('Student Report'!$O89&lt;&gt;"",IF('Student Report'!$O89&gt;=Settings!$B$11,"Mastered",IF('Student Report'!$O89&gt;=Settings!$B$12,"Approaching","Not Yet")),"")),"")</f>
        <v/>
      </c>
      <c r="J99" s="30">
        <f>IFERROR(IF('Student Report'!$W89&lt;&gt;"",IF('Student Report'!$W89&gt;=Settings!$B$11,"Mastered",IF('Student Report'!$W89&gt;=Settings!$B$12,"Approaching","Not Yet")),IF('Student Report'!$P89&lt;&gt;"",IF('Student Report'!$P89&gt;=Settings!$B$11,"Mastered",IF('Student Report'!$P89&gt;=Settings!$B$12,"Approaching","Not Yet")),"")),"")</f>
        <v/>
      </c>
      <c r="K99" s="30">
        <f>IFERROR(IF('Student Report'!$X89&lt;&gt;"",IF('Student Report'!$X89&gt;=Settings!$B$11,"Mastered",IF('Student Report'!$X89&gt;=Settings!$B$12,"Approaching","Not Yet")),IF('Student Report'!$Q89&lt;&gt;"",IF('Student Report'!$Q89&gt;=Settings!$B$11,"Mastered",IF('Student Report'!$Q89&gt;=Settings!$B$12,"Approaching","Not Yet")),"")),"")</f>
        <v/>
      </c>
      <c r="L99" s="30">
        <f>IFERROR(IF('Student Report'!$Y89&lt;&gt;"",IF('Student Report'!$Y89&gt;=Settings!$B$11,"Mastered",IF('Student Report'!$Y89&gt;=Settings!$B$12,"Approaching","Not Yet")),IF('Student Report'!$R89&lt;&gt;"",IF('Student Report'!$R89&gt;=Settings!$B$11,"Mastered",IF('Student Report'!$R89&gt;=Settings!$B$12,"Approaching","Not Yet")),"")),"")</f>
        <v/>
      </c>
      <c r="M99" s="30">
        <f>IFERROR(IF('Student Report'!$Z89&lt;&gt;"",IF('Student Report'!$Z89&gt;=Settings!$B$11,"Mastered",IF('Student Report'!$Z89&gt;=Settings!$B$12,"Approaching","Not Yet")),IF('Student Report'!$S89&lt;&gt;"",IF('Student Report'!$S89&gt;=Settings!$B$11,"Mastered",IF('Student Report'!$S89&gt;=Settings!$B$12,"Approaching","Not Yet")),"")),"")</f>
        <v/>
      </c>
      <c r="N99" s="30">
        <f>IFERROR(IF('Student Report'!$AA89&lt;&gt;"",IF('Student Report'!$AA89&gt;=Settings!$B$11,"Mastered",IF('Student Report'!$AA89&gt;=Settings!$B$12,"Approaching","Not Yet")),IF('Student Report'!$T89&lt;&gt;"",IF('Student Report'!$T89&gt;=Settings!$B$11,"Mastered",IF('Student Report'!$T89&gt;=Settings!$B$12,"Approaching","Not Yet")),"")),"")</f>
        <v/>
      </c>
      <c r="O99" s="30">
        <f>IFERROR(IF('Student Report'!$AB89&lt;&gt;"",IF('Student Report'!$AB89&gt;=Settings!$B$11,"Mastered",IF('Student Report'!$AB89&gt;=Settings!$B$12,"Approaching","Not Yet")),IF('Student Report'!$U89&lt;&gt;"",IF('Student Report'!$U89&gt;=Settings!$B$11,"Mastered",IF('Student Report'!$U89&gt;=Settings!$B$12,"Approaching","Not Yet")),"")),"")</f>
        <v/>
      </c>
    </row>
    <row r="100">
      <c r="A100" s="30">
        <f>'Student Report'!$A90</f>
        <v/>
      </c>
      <c r="B100" s="56">
        <f>'Student Report'!$B90</f>
        <v/>
      </c>
      <c r="C100" s="30">
        <f>'Student Report'!$C90</f>
        <v/>
      </c>
      <c r="D100" s="30">
        <f>'Student Report'!$G90</f>
        <v/>
      </c>
      <c r="E100" s="30">
        <f>'Student Report'!$I90</f>
        <v/>
      </c>
      <c r="F100" s="57">
        <f>'Student Report'!$AJ90</f>
        <v/>
      </c>
      <c r="G100" s="30">
        <f>'Student Report'!$AK90</f>
        <v/>
      </c>
      <c r="H100" s="30">
        <f>IF($B100="","",COUNTIF(I100:O100,"Not Yet"))</f>
        <v/>
      </c>
      <c r="I100" s="30">
        <f>IFERROR(IF('Student Report'!$V90&lt;&gt;"",IF('Student Report'!$V90&gt;=Settings!$B$11,"Mastered",IF('Student Report'!$V90&gt;=Settings!$B$12,"Approaching","Not Yet")),IF('Student Report'!$O90&lt;&gt;"",IF('Student Report'!$O90&gt;=Settings!$B$11,"Mastered",IF('Student Report'!$O90&gt;=Settings!$B$12,"Approaching","Not Yet")),"")),"")</f>
        <v/>
      </c>
      <c r="J100" s="30">
        <f>IFERROR(IF('Student Report'!$W90&lt;&gt;"",IF('Student Report'!$W90&gt;=Settings!$B$11,"Mastered",IF('Student Report'!$W90&gt;=Settings!$B$12,"Approaching","Not Yet")),IF('Student Report'!$P90&lt;&gt;"",IF('Student Report'!$P90&gt;=Settings!$B$11,"Mastered",IF('Student Report'!$P90&gt;=Settings!$B$12,"Approaching","Not Yet")),"")),"")</f>
        <v/>
      </c>
      <c r="K100" s="30">
        <f>IFERROR(IF('Student Report'!$X90&lt;&gt;"",IF('Student Report'!$X90&gt;=Settings!$B$11,"Mastered",IF('Student Report'!$X90&gt;=Settings!$B$12,"Approaching","Not Yet")),IF('Student Report'!$Q90&lt;&gt;"",IF('Student Report'!$Q90&gt;=Settings!$B$11,"Mastered",IF('Student Report'!$Q90&gt;=Settings!$B$12,"Approaching","Not Yet")),"")),"")</f>
        <v/>
      </c>
      <c r="L100" s="30">
        <f>IFERROR(IF('Student Report'!$Y90&lt;&gt;"",IF('Student Report'!$Y90&gt;=Settings!$B$11,"Mastered",IF('Student Report'!$Y90&gt;=Settings!$B$12,"Approaching","Not Yet")),IF('Student Report'!$R90&lt;&gt;"",IF('Student Report'!$R90&gt;=Settings!$B$11,"Mastered",IF('Student Report'!$R90&gt;=Settings!$B$12,"Approaching","Not Yet")),"")),"")</f>
        <v/>
      </c>
      <c r="M100" s="30">
        <f>IFERROR(IF('Student Report'!$Z90&lt;&gt;"",IF('Student Report'!$Z90&gt;=Settings!$B$11,"Mastered",IF('Student Report'!$Z90&gt;=Settings!$B$12,"Approaching","Not Yet")),IF('Student Report'!$S90&lt;&gt;"",IF('Student Report'!$S90&gt;=Settings!$B$11,"Mastered",IF('Student Report'!$S90&gt;=Settings!$B$12,"Approaching","Not Yet")),"")),"")</f>
        <v/>
      </c>
      <c r="N100" s="30">
        <f>IFERROR(IF('Student Report'!$AA90&lt;&gt;"",IF('Student Report'!$AA90&gt;=Settings!$B$11,"Mastered",IF('Student Report'!$AA90&gt;=Settings!$B$12,"Approaching","Not Yet")),IF('Student Report'!$T90&lt;&gt;"",IF('Student Report'!$T90&gt;=Settings!$B$11,"Mastered",IF('Student Report'!$T90&gt;=Settings!$B$12,"Approaching","Not Yet")),"")),"")</f>
        <v/>
      </c>
      <c r="O100" s="30">
        <f>IFERROR(IF('Student Report'!$AB90&lt;&gt;"",IF('Student Report'!$AB90&gt;=Settings!$B$11,"Mastered",IF('Student Report'!$AB90&gt;=Settings!$B$12,"Approaching","Not Yet")),IF('Student Report'!$U90&lt;&gt;"",IF('Student Report'!$U90&gt;=Settings!$B$11,"Mastered",IF('Student Report'!$U90&gt;=Settings!$B$12,"Approaching","Not Yet")),"")),"")</f>
        <v/>
      </c>
    </row>
    <row r="101">
      <c r="A101" s="30">
        <f>'Student Report'!$A91</f>
        <v/>
      </c>
      <c r="B101" s="56">
        <f>'Student Report'!$B91</f>
        <v/>
      </c>
      <c r="C101" s="30">
        <f>'Student Report'!$C91</f>
        <v/>
      </c>
      <c r="D101" s="30">
        <f>'Student Report'!$G91</f>
        <v/>
      </c>
      <c r="E101" s="30">
        <f>'Student Report'!$I91</f>
        <v/>
      </c>
      <c r="F101" s="57">
        <f>'Student Report'!$AJ91</f>
        <v/>
      </c>
      <c r="G101" s="30">
        <f>'Student Report'!$AK91</f>
        <v/>
      </c>
      <c r="H101" s="30">
        <f>IF($B101="","",COUNTIF(I101:O101,"Not Yet"))</f>
        <v/>
      </c>
      <c r="I101" s="30">
        <f>IFERROR(IF('Student Report'!$V91&lt;&gt;"",IF('Student Report'!$V91&gt;=Settings!$B$11,"Mastered",IF('Student Report'!$V91&gt;=Settings!$B$12,"Approaching","Not Yet")),IF('Student Report'!$O91&lt;&gt;"",IF('Student Report'!$O91&gt;=Settings!$B$11,"Mastered",IF('Student Report'!$O91&gt;=Settings!$B$12,"Approaching","Not Yet")),"")),"")</f>
        <v/>
      </c>
      <c r="J101" s="30">
        <f>IFERROR(IF('Student Report'!$W91&lt;&gt;"",IF('Student Report'!$W91&gt;=Settings!$B$11,"Mastered",IF('Student Report'!$W91&gt;=Settings!$B$12,"Approaching","Not Yet")),IF('Student Report'!$P91&lt;&gt;"",IF('Student Report'!$P91&gt;=Settings!$B$11,"Mastered",IF('Student Report'!$P91&gt;=Settings!$B$12,"Approaching","Not Yet")),"")),"")</f>
        <v/>
      </c>
      <c r="K101" s="30">
        <f>IFERROR(IF('Student Report'!$X91&lt;&gt;"",IF('Student Report'!$X91&gt;=Settings!$B$11,"Mastered",IF('Student Report'!$X91&gt;=Settings!$B$12,"Approaching","Not Yet")),IF('Student Report'!$Q91&lt;&gt;"",IF('Student Report'!$Q91&gt;=Settings!$B$11,"Mastered",IF('Student Report'!$Q91&gt;=Settings!$B$12,"Approaching","Not Yet")),"")),"")</f>
        <v/>
      </c>
      <c r="L101" s="30">
        <f>IFERROR(IF('Student Report'!$Y91&lt;&gt;"",IF('Student Report'!$Y91&gt;=Settings!$B$11,"Mastered",IF('Student Report'!$Y91&gt;=Settings!$B$12,"Approaching","Not Yet")),IF('Student Report'!$R91&lt;&gt;"",IF('Student Report'!$R91&gt;=Settings!$B$11,"Mastered",IF('Student Report'!$R91&gt;=Settings!$B$12,"Approaching","Not Yet")),"")),"")</f>
        <v/>
      </c>
      <c r="M101" s="30">
        <f>IFERROR(IF('Student Report'!$Z91&lt;&gt;"",IF('Student Report'!$Z91&gt;=Settings!$B$11,"Mastered",IF('Student Report'!$Z91&gt;=Settings!$B$12,"Approaching","Not Yet")),IF('Student Report'!$S91&lt;&gt;"",IF('Student Report'!$S91&gt;=Settings!$B$11,"Mastered",IF('Student Report'!$S91&gt;=Settings!$B$12,"Approaching","Not Yet")),"")),"")</f>
        <v/>
      </c>
      <c r="N101" s="30">
        <f>IFERROR(IF('Student Report'!$AA91&lt;&gt;"",IF('Student Report'!$AA91&gt;=Settings!$B$11,"Mastered",IF('Student Report'!$AA91&gt;=Settings!$B$12,"Approaching","Not Yet")),IF('Student Report'!$T91&lt;&gt;"",IF('Student Report'!$T91&gt;=Settings!$B$11,"Mastered",IF('Student Report'!$T91&gt;=Settings!$B$12,"Approaching","Not Yet")),"")),"")</f>
        <v/>
      </c>
      <c r="O101" s="30">
        <f>IFERROR(IF('Student Report'!$AB91&lt;&gt;"",IF('Student Report'!$AB91&gt;=Settings!$B$11,"Mastered",IF('Student Report'!$AB91&gt;=Settings!$B$12,"Approaching","Not Yet")),IF('Student Report'!$U91&lt;&gt;"",IF('Student Report'!$U91&gt;=Settings!$B$11,"Mastered",IF('Student Report'!$U91&gt;=Settings!$B$12,"Approaching","Not Yet")),"")),"")</f>
        <v/>
      </c>
    </row>
    <row r="102">
      <c r="A102" s="30">
        <f>'Student Report'!$A92</f>
        <v/>
      </c>
      <c r="B102" s="56">
        <f>'Student Report'!$B92</f>
        <v/>
      </c>
      <c r="C102" s="30">
        <f>'Student Report'!$C92</f>
        <v/>
      </c>
      <c r="D102" s="30">
        <f>'Student Report'!$G92</f>
        <v/>
      </c>
      <c r="E102" s="30">
        <f>'Student Report'!$I92</f>
        <v/>
      </c>
      <c r="F102" s="57">
        <f>'Student Report'!$AJ92</f>
        <v/>
      </c>
      <c r="G102" s="30">
        <f>'Student Report'!$AK92</f>
        <v/>
      </c>
      <c r="H102" s="30">
        <f>IF($B102="","",COUNTIF(I102:O102,"Not Yet"))</f>
        <v/>
      </c>
      <c r="I102" s="30">
        <f>IFERROR(IF('Student Report'!$V92&lt;&gt;"",IF('Student Report'!$V92&gt;=Settings!$B$11,"Mastered",IF('Student Report'!$V92&gt;=Settings!$B$12,"Approaching","Not Yet")),IF('Student Report'!$O92&lt;&gt;"",IF('Student Report'!$O92&gt;=Settings!$B$11,"Mastered",IF('Student Report'!$O92&gt;=Settings!$B$12,"Approaching","Not Yet")),"")),"")</f>
        <v/>
      </c>
      <c r="J102" s="30">
        <f>IFERROR(IF('Student Report'!$W92&lt;&gt;"",IF('Student Report'!$W92&gt;=Settings!$B$11,"Mastered",IF('Student Report'!$W92&gt;=Settings!$B$12,"Approaching","Not Yet")),IF('Student Report'!$P92&lt;&gt;"",IF('Student Report'!$P92&gt;=Settings!$B$11,"Mastered",IF('Student Report'!$P92&gt;=Settings!$B$12,"Approaching","Not Yet")),"")),"")</f>
        <v/>
      </c>
      <c r="K102" s="30">
        <f>IFERROR(IF('Student Report'!$X92&lt;&gt;"",IF('Student Report'!$X92&gt;=Settings!$B$11,"Mastered",IF('Student Report'!$X92&gt;=Settings!$B$12,"Approaching","Not Yet")),IF('Student Report'!$Q92&lt;&gt;"",IF('Student Report'!$Q92&gt;=Settings!$B$11,"Mastered",IF('Student Report'!$Q92&gt;=Settings!$B$12,"Approaching","Not Yet")),"")),"")</f>
        <v/>
      </c>
      <c r="L102" s="30">
        <f>IFERROR(IF('Student Report'!$Y92&lt;&gt;"",IF('Student Report'!$Y92&gt;=Settings!$B$11,"Mastered",IF('Student Report'!$Y92&gt;=Settings!$B$12,"Approaching","Not Yet")),IF('Student Report'!$R92&lt;&gt;"",IF('Student Report'!$R92&gt;=Settings!$B$11,"Mastered",IF('Student Report'!$R92&gt;=Settings!$B$12,"Approaching","Not Yet")),"")),"")</f>
        <v/>
      </c>
      <c r="M102" s="30">
        <f>IFERROR(IF('Student Report'!$Z92&lt;&gt;"",IF('Student Report'!$Z92&gt;=Settings!$B$11,"Mastered",IF('Student Report'!$Z92&gt;=Settings!$B$12,"Approaching","Not Yet")),IF('Student Report'!$S92&lt;&gt;"",IF('Student Report'!$S92&gt;=Settings!$B$11,"Mastered",IF('Student Report'!$S92&gt;=Settings!$B$12,"Approaching","Not Yet")),"")),"")</f>
        <v/>
      </c>
      <c r="N102" s="30">
        <f>IFERROR(IF('Student Report'!$AA92&lt;&gt;"",IF('Student Report'!$AA92&gt;=Settings!$B$11,"Mastered",IF('Student Report'!$AA92&gt;=Settings!$B$12,"Approaching","Not Yet")),IF('Student Report'!$T92&lt;&gt;"",IF('Student Report'!$T92&gt;=Settings!$B$11,"Mastered",IF('Student Report'!$T92&gt;=Settings!$B$12,"Approaching","Not Yet")),"")),"")</f>
        <v/>
      </c>
      <c r="O102" s="30">
        <f>IFERROR(IF('Student Report'!$AB92&lt;&gt;"",IF('Student Report'!$AB92&gt;=Settings!$B$11,"Mastered",IF('Student Report'!$AB92&gt;=Settings!$B$12,"Approaching","Not Yet")),IF('Student Report'!$U92&lt;&gt;"",IF('Student Report'!$U92&gt;=Settings!$B$11,"Mastered",IF('Student Report'!$U92&gt;=Settings!$B$12,"Approaching","Not Yet")),"")),"")</f>
        <v/>
      </c>
    </row>
    <row r="103">
      <c r="A103" s="30">
        <f>'Student Report'!$A93</f>
        <v/>
      </c>
      <c r="B103" s="56">
        <f>'Student Report'!$B93</f>
        <v/>
      </c>
      <c r="C103" s="30">
        <f>'Student Report'!$C93</f>
        <v/>
      </c>
      <c r="D103" s="30">
        <f>'Student Report'!$G93</f>
        <v/>
      </c>
      <c r="E103" s="30">
        <f>'Student Report'!$I93</f>
        <v/>
      </c>
      <c r="F103" s="57">
        <f>'Student Report'!$AJ93</f>
        <v/>
      </c>
      <c r="G103" s="30">
        <f>'Student Report'!$AK93</f>
        <v/>
      </c>
      <c r="H103" s="30">
        <f>IF($B103="","",COUNTIF(I103:O103,"Not Yet"))</f>
        <v/>
      </c>
      <c r="I103" s="30">
        <f>IFERROR(IF('Student Report'!$V93&lt;&gt;"",IF('Student Report'!$V93&gt;=Settings!$B$11,"Mastered",IF('Student Report'!$V93&gt;=Settings!$B$12,"Approaching","Not Yet")),IF('Student Report'!$O93&lt;&gt;"",IF('Student Report'!$O93&gt;=Settings!$B$11,"Mastered",IF('Student Report'!$O93&gt;=Settings!$B$12,"Approaching","Not Yet")),"")),"")</f>
        <v/>
      </c>
      <c r="J103" s="30">
        <f>IFERROR(IF('Student Report'!$W93&lt;&gt;"",IF('Student Report'!$W93&gt;=Settings!$B$11,"Mastered",IF('Student Report'!$W93&gt;=Settings!$B$12,"Approaching","Not Yet")),IF('Student Report'!$P93&lt;&gt;"",IF('Student Report'!$P93&gt;=Settings!$B$11,"Mastered",IF('Student Report'!$P93&gt;=Settings!$B$12,"Approaching","Not Yet")),"")),"")</f>
        <v/>
      </c>
      <c r="K103" s="30">
        <f>IFERROR(IF('Student Report'!$X93&lt;&gt;"",IF('Student Report'!$X93&gt;=Settings!$B$11,"Mastered",IF('Student Report'!$X93&gt;=Settings!$B$12,"Approaching","Not Yet")),IF('Student Report'!$Q93&lt;&gt;"",IF('Student Report'!$Q93&gt;=Settings!$B$11,"Mastered",IF('Student Report'!$Q93&gt;=Settings!$B$12,"Approaching","Not Yet")),"")),"")</f>
        <v/>
      </c>
      <c r="L103" s="30">
        <f>IFERROR(IF('Student Report'!$Y93&lt;&gt;"",IF('Student Report'!$Y93&gt;=Settings!$B$11,"Mastered",IF('Student Report'!$Y93&gt;=Settings!$B$12,"Approaching","Not Yet")),IF('Student Report'!$R93&lt;&gt;"",IF('Student Report'!$R93&gt;=Settings!$B$11,"Mastered",IF('Student Report'!$R93&gt;=Settings!$B$12,"Approaching","Not Yet")),"")),"")</f>
        <v/>
      </c>
      <c r="M103" s="30">
        <f>IFERROR(IF('Student Report'!$Z93&lt;&gt;"",IF('Student Report'!$Z93&gt;=Settings!$B$11,"Mastered",IF('Student Report'!$Z93&gt;=Settings!$B$12,"Approaching","Not Yet")),IF('Student Report'!$S93&lt;&gt;"",IF('Student Report'!$S93&gt;=Settings!$B$11,"Mastered",IF('Student Report'!$S93&gt;=Settings!$B$12,"Approaching","Not Yet")),"")),"")</f>
        <v/>
      </c>
      <c r="N103" s="30">
        <f>IFERROR(IF('Student Report'!$AA93&lt;&gt;"",IF('Student Report'!$AA93&gt;=Settings!$B$11,"Mastered",IF('Student Report'!$AA93&gt;=Settings!$B$12,"Approaching","Not Yet")),IF('Student Report'!$T93&lt;&gt;"",IF('Student Report'!$T93&gt;=Settings!$B$11,"Mastered",IF('Student Report'!$T93&gt;=Settings!$B$12,"Approaching","Not Yet")),"")),"")</f>
        <v/>
      </c>
      <c r="O103" s="30">
        <f>IFERROR(IF('Student Report'!$AB93&lt;&gt;"",IF('Student Report'!$AB93&gt;=Settings!$B$11,"Mastered",IF('Student Report'!$AB93&gt;=Settings!$B$12,"Approaching","Not Yet")),IF('Student Report'!$U93&lt;&gt;"",IF('Student Report'!$U93&gt;=Settings!$B$11,"Mastered",IF('Student Report'!$U93&gt;=Settings!$B$12,"Approaching","Not Yet")),"")),"")</f>
        <v/>
      </c>
    </row>
    <row r="104">
      <c r="A104" s="30">
        <f>'Student Report'!$A94</f>
        <v/>
      </c>
      <c r="B104" s="56">
        <f>'Student Report'!$B94</f>
        <v/>
      </c>
      <c r="C104" s="30">
        <f>'Student Report'!$C94</f>
        <v/>
      </c>
      <c r="D104" s="30">
        <f>'Student Report'!$G94</f>
        <v/>
      </c>
      <c r="E104" s="30">
        <f>'Student Report'!$I94</f>
        <v/>
      </c>
      <c r="F104" s="57">
        <f>'Student Report'!$AJ94</f>
        <v/>
      </c>
      <c r="G104" s="30">
        <f>'Student Report'!$AK94</f>
        <v/>
      </c>
      <c r="H104" s="30">
        <f>IF($B104="","",COUNTIF(I104:O104,"Not Yet"))</f>
        <v/>
      </c>
      <c r="I104" s="30">
        <f>IFERROR(IF('Student Report'!$V94&lt;&gt;"",IF('Student Report'!$V94&gt;=Settings!$B$11,"Mastered",IF('Student Report'!$V94&gt;=Settings!$B$12,"Approaching","Not Yet")),IF('Student Report'!$O94&lt;&gt;"",IF('Student Report'!$O94&gt;=Settings!$B$11,"Mastered",IF('Student Report'!$O94&gt;=Settings!$B$12,"Approaching","Not Yet")),"")),"")</f>
        <v/>
      </c>
      <c r="J104" s="30">
        <f>IFERROR(IF('Student Report'!$W94&lt;&gt;"",IF('Student Report'!$W94&gt;=Settings!$B$11,"Mastered",IF('Student Report'!$W94&gt;=Settings!$B$12,"Approaching","Not Yet")),IF('Student Report'!$P94&lt;&gt;"",IF('Student Report'!$P94&gt;=Settings!$B$11,"Mastered",IF('Student Report'!$P94&gt;=Settings!$B$12,"Approaching","Not Yet")),"")),"")</f>
        <v/>
      </c>
      <c r="K104" s="30">
        <f>IFERROR(IF('Student Report'!$X94&lt;&gt;"",IF('Student Report'!$X94&gt;=Settings!$B$11,"Mastered",IF('Student Report'!$X94&gt;=Settings!$B$12,"Approaching","Not Yet")),IF('Student Report'!$Q94&lt;&gt;"",IF('Student Report'!$Q94&gt;=Settings!$B$11,"Mastered",IF('Student Report'!$Q94&gt;=Settings!$B$12,"Approaching","Not Yet")),"")),"")</f>
        <v/>
      </c>
      <c r="L104" s="30">
        <f>IFERROR(IF('Student Report'!$Y94&lt;&gt;"",IF('Student Report'!$Y94&gt;=Settings!$B$11,"Mastered",IF('Student Report'!$Y94&gt;=Settings!$B$12,"Approaching","Not Yet")),IF('Student Report'!$R94&lt;&gt;"",IF('Student Report'!$R94&gt;=Settings!$B$11,"Mastered",IF('Student Report'!$R94&gt;=Settings!$B$12,"Approaching","Not Yet")),"")),"")</f>
        <v/>
      </c>
      <c r="M104" s="30">
        <f>IFERROR(IF('Student Report'!$Z94&lt;&gt;"",IF('Student Report'!$Z94&gt;=Settings!$B$11,"Mastered",IF('Student Report'!$Z94&gt;=Settings!$B$12,"Approaching","Not Yet")),IF('Student Report'!$S94&lt;&gt;"",IF('Student Report'!$S94&gt;=Settings!$B$11,"Mastered",IF('Student Report'!$S94&gt;=Settings!$B$12,"Approaching","Not Yet")),"")),"")</f>
        <v/>
      </c>
      <c r="N104" s="30">
        <f>IFERROR(IF('Student Report'!$AA94&lt;&gt;"",IF('Student Report'!$AA94&gt;=Settings!$B$11,"Mastered",IF('Student Report'!$AA94&gt;=Settings!$B$12,"Approaching","Not Yet")),IF('Student Report'!$T94&lt;&gt;"",IF('Student Report'!$T94&gt;=Settings!$B$11,"Mastered",IF('Student Report'!$T94&gt;=Settings!$B$12,"Approaching","Not Yet")),"")),"")</f>
        <v/>
      </c>
      <c r="O104" s="30">
        <f>IFERROR(IF('Student Report'!$AB94&lt;&gt;"",IF('Student Report'!$AB94&gt;=Settings!$B$11,"Mastered",IF('Student Report'!$AB94&gt;=Settings!$B$12,"Approaching","Not Yet")),IF('Student Report'!$U94&lt;&gt;"",IF('Student Report'!$U94&gt;=Settings!$B$11,"Mastered",IF('Student Report'!$U94&gt;=Settings!$B$12,"Approaching","Not Yet")),"")),"")</f>
        <v/>
      </c>
    </row>
    <row r="105">
      <c r="A105" s="30">
        <f>'Student Report'!$A95</f>
        <v/>
      </c>
      <c r="B105" s="56">
        <f>'Student Report'!$B95</f>
        <v/>
      </c>
      <c r="C105" s="30">
        <f>'Student Report'!$C95</f>
        <v/>
      </c>
      <c r="D105" s="30">
        <f>'Student Report'!$G95</f>
        <v/>
      </c>
      <c r="E105" s="30">
        <f>'Student Report'!$I95</f>
        <v/>
      </c>
      <c r="F105" s="57">
        <f>'Student Report'!$AJ95</f>
        <v/>
      </c>
      <c r="G105" s="30">
        <f>'Student Report'!$AK95</f>
        <v/>
      </c>
      <c r="H105" s="30">
        <f>IF($B105="","",COUNTIF(I105:O105,"Not Yet"))</f>
        <v/>
      </c>
      <c r="I105" s="30">
        <f>IFERROR(IF('Student Report'!$V95&lt;&gt;"",IF('Student Report'!$V95&gt;=Settings!$B$11,"Mastered",IF('Student Report'!$V95&gt;=Settings!$B$12,"Approaching","Not Yet")),IF('Student Report'!$O95&lt;&gt;"",IF('Student Report'!$O95&gt;=Settings!$B$11,"Mastered",IF('Student Report'!$O95&gt;=Settings!$B$12,"Approaching","Not Yet")),"")),"")</f>
        <v/>
      </c>
      <c r="J105" s="30">
        <f>IFERROR(IF('Student Report'!$W95&lt;&gt;"",IF('Student Report'!$W95&gt;=Settings!$B$11,"Mastered",IF('Student Report'!$W95&gt;=Settings!$B$12,"Approaching","Not Yet")),IF('Student Report'!$P95&lt;&gt;"",IF('Student Report'!$P95&gt;=Settings!$B$11,"Mastered",IF('Student Report'!$P95&gt;=Settings!$B$12,"Approaching","Not Yet")),"")),"")</f>
        <v/>
      </c>
      <c r="K105" s="30">
        <f>IFERROR(IF('Student Report'!$X95&lt;&gt;"",IF('Student Report'!$X95&gt;=Settings!$B$11,"Mastered",IF('Student Report'!$X95&gt;=Settings!$B$12,"Approaching","Not Yet")),IF('Student Report'!$Q95&lt;&gt;"",IF('Student Report'!$Q95&gt;=Settings!$B$11,"Mastered",IF('Student Report'!$Q95&gt;=Settings!$B$12,"Approaching","Not Yet")),"")),"")</f>
        <v/>
      </c>
      <c r="L105" s="30">
        <f>IFERROR(IF('Student Report'!$Y95&lt;&gt;"",IF('Student Report'!$Y95&gt;=Settings!$B$11,"Mastered",IF('Student Report'!$Y95&gt;=Settings!$B$12,"Approaching","Not Yet")),IF('Student Report'!$R95&lt;&gt;"",IF('Student Report'!$R95&gt;=Settings!$B$11,"Mastered",IF('Student Report'!$R95&gt;=Settings!$B$12,"Approaching","Not Yet")),"")),"")</f>
        <v/>
      </c>
      <c r="M105" s="30">
        <f>IFERROR(IF('Student Report'!$Z95&lt;&gt;"",IF('Student Report'!$Z95&gt;=Settings!$B$11,"Mastered",IF('Student Report'!$Z95&gt;=Settings!$B$12,"Approaching","Not Yet")),IF('Student Report'!$S95&lt;&gt;"",IF('Student Report'!$S95&gt;=Settings!$B$11,"Mastered",IF('Student Report'!$S95&gt;=Settings!$B$12,"Approaching","Not Yet")),"")),"")</f>
        <v/>
      </c>
      <c r="N105" s="30">
        <f>IFERROR(IF('Student Report'!$AA95&lt;&gt;"",IF('Student Report'!$AA95&gt;=Settings!$B$11,"Mastered",IF('Student Report'!$AA95&gt;=Settings!$B$12,"Approaching","Not Yet")),IF('Student Report'!$T95&lt;&gt;"",IF('Student Report'!$T95&gt;=Settings!$B$11,"Mastered",IF('Student Report'!$T95&gt;=Settings!$B$12,"Approaching","Not Yet")),"")),"")</f>
        <v/>
      </c>
      <c r="O105" s="30">
        <f>IFERROR(IF('Student Report'!$AB95&lt;&gt;"",IF('Student Report'!$AB95&gt;=Settings!$B$11,"Mastered",IF('Student Report'!$AB95&gt;=Settings!$B$12,"Approaching","Not Yet")),IF('Student Report'!$U95&lt;&gt;"",IF('Student Report'!$U95&gt;=Settings!$B$11,"Mastered",IF('Student Report'!$U95&gt;=Settings!$B$12,"Approaching","Not Yet")),"")),"")</f>
        <v/>
      </c>
    </row>
    <row r="106">
      <c r="A106" s="30">
        <f>'Student Report'!$A96</f>
        <v/>
      </c>
      <c r="B106" s="56">
        <f>'Student Report'!$B96</f>
        <v/>
      </c>
      <c r="C106" s="30">
        <f>'Student Report'!$C96</f>
        <v/>
      </c>
      <c r="D106" s="30">
        <f>'Student Report'!$G96</f>
        <v/>
      </c>
      <c r="E106" s="30">
        <f>'Student Report'!$I96</f>
        <v/>
      </c>
      <c r="F106" s="57">
        <f>'Student Report'!$AJ96</f>
        <v/>
      </c>
      <c r="G106" s="30">
        <f>'Student Report'!$AK96</f>
        <v/>
      </c>
      <c r="H106" s="30">
        <f>IF($B106="","",COUNTIF(I106:O106,"Not Yet"))</f>
        <v/>
      </c>
      <c r="I106" s="30">
        <f>IFERROR(IF('Student Report'!$V96&lt;&gt;"",IF('Student Report'!$V96&gt;=Settings!$B$11,"Mastered",IF('Student Report'!$V96&gt;=Settings!$B$12,"Approaching","Not Yet")),IF('Student Report'!$O96&lt;&gt;"",IF('Student Report'!$O96&gt;=Settings!$B$11,"Mastered",IF('Student Report'!$O96&gt;=Settings!$B$12,"Approaching","Not Yet")),"")),"")</f>
        <v/>
      </c>
      <c r="J106" s="30">
        <f>IFERROR(IF('Student Report'!$W96&lt;&gt;"",IF('Student Report'!$W96&gt;=Settings!$B$11,"Mastered",IF('Student Report'!$W96&gt;=Settings!$B$12,"Approaching","Not Yet")),IF('Student Report'!$P96&lt;&gt;"",IF('Student Report'!$P96&gt;=Settings!$B$11,"Mastered",IF('Student Report'!$P96&gt;=Settings!$B$12,"Approaching","Not Yet")),"")),"")</f>
        <v/>
      </c>
      <c r="K106" s="30">
        <f>IFERROR(IF('Student Report'!$X96&lt;&gt;"",IF('Student Report'!$X96&gt;=Settings!$B$11,"Mastered",IF('Student Report'!$X96&gt;=Settings!$B$12,"Approaching","Not Yet")),IF('Student Report'!$Q96&lt;&gt;"",IF('Student Report'!$Q96&gt;=Settings!$B$11,"Mastered",IF('Student Report'!$Q96&gt;=Settings!$B$12,"Approaching","Not Yet")),"")),"")</f>
        <v/>
      </c>
      <c r="L106" s="30">
        <f>IFERROR(IF('Student Report'!$Y96&lt;&gt;"",IF('Student Report'!$Y96&gt;=Settings!$B$11,"Mastered",IF('Student Report'!$Y96&gt;=Settings!$B$12,"Approaching","Not Yet")),IF('Student Report'!$R96&lt;&gt;"",IF('Student Report'!$R96&gt;=Settings!$B$11,"Mastered",IF('Student Report'!$R96&gt;=Settings!$B$12,"Approaching","Not Yet")),"")),"")</f>
        <v/>
      </c>
      <c r="M106" s="30">
        <f>IFERROR(IF('Student Report'!$Z96&lt;&gt;"",IF('Student Report'!$Z96&gt;=Settings!$B$11,"Mastered",IF('Student Report'!$Z96&gt;=Settings!$B$12,"Approaching","Not Yet")),IF('Student Report'!$S96&lt;&gt;"",IF('Student Report'!$S96&gt;=Settings!$B$11,"Mastered",IF('Student Report'!$S96&gt;=Settings!$B$12,"Approaching","Not Yet")),"")),"")</f>
        <v/>
      </c>
      <c r="N106" s="30">
        <f>IFERROR(IF('Student Report'!$AA96&lt;&gt;"",IF('Student Report'!$AA96&gt;=Settings!$B$11,"Mastered",IF('Student Report'!$AA96&gt;=Settings!$B$12,"Approaching","Not Yet")),IF('Student Report'!$T96&lt;&gt;"",IF('Student Report'!$T96&gt;=Settings!$B$11,"Mastered",IF('Student Report'!$T96&gt;=Settings!$B$12,"Approaching","Not Yet")),"")),"")</f>
        <v/>
      </c>
      <c r="O106" s="30">
        <f>IFERROR(IF('Student Report'!$AB96&lt;&gt;"",IF('Student Report'!$AB96&gt;=Settings!$B$11,"Mastered",IF('Student Report'!$AB96&gt;=Settings!$B$12,"Approaching","Not Yet")),IF('Student Report'!$U96&lt;&gt;"",IF('Student Report'!$U96&gt;=Settings!$B$11,"Mastered",IF('Student Report'!$U96&gt;=Settings!$B$12,"Approaching","Not Yet")),"")),"")</f>
        <v/>
      </c>
    </row>
    <row r="107">
      <c r="A107" s="30">
        <f>'Student Report'!$A97</f>
        <v/>
      </c>
      <c r="B107" s="56">
        <f>'Student Report'!$B97</f>
        <v/>
      </c>
      <c r="C107" s="30">
        <f>'Student Report'!$C97</f>
        <v/>
      </c>
      <c r="D107" s="30">
        <f>'Student Report'!$G97</f>
        <v/>
      </c>
      <c r="E107" s="30">
        <f>'Student Report'!$I97</f>
        <v/>
      </c>
      <c r="F107" s="57">
        <f>'Student Report'!$AJ97</f>
        <v/>
      </c>
      <c r="G107" s="30">
        <f>'Student Report'!$AK97</f>
        <v/>
      </c>
      <c r="H107" s="30">
        <f>IF($B107="","",COUNTIF(I107:O107,"Not Yet"))</f>
        <v/>
      </c>
      <c r="I107" s="30">
        <f>IFERROR(IF('Student Report'!$V97&lt;&gt;"",IF('Student Report'!$V97&gt;=Settings!$B$11,"Mastered",IF('Student Report'!$V97&gt;=Settings!$B$12,"Approaching","Not Yet")),IF('Student Report'!$O97&lt;&gt;"",IF('Student Report'!$O97&gt;=Settings!$B$11,"Mastered",IF('Student Report'!$O97&gt;=Settings!$B$12,"Approaching","Not Yet")),"")),"")</f>
        <v/>
      </c>
      <c r="J107" s="30">
        <f>IFERROR(IF('Student Report'!$W97&lt;&gt;"",IF('Student Report'!$W97&gt;=Settings!$B$11,"Mastered",IF('Student Report'!$W97&gt;=Settings!$B$12,"Approaching","Not Yet")),IF('Student Report'!$P97&lt;&gt;"",IF('Student Report'!$P97&gt;=Settings!$B$11,"Mastered",IF('Student Report'!$P97&gt;=Settings!$B$12,"Approaching","Not Yet")),"")),"")</f>
        <v/>
      </c>
      <c r="K107" s="30">
        <f>IFERROR(IF('Student Report'!$X97&lt;&gt;"",IF('Student Report'!$X97&gt;=Settings!$B$11,"Mastered",IF('Student Report'!$X97&gt;=Settings!$B$12,"Approaching","Not Yet")),IF('Student Report'!$Q97&lt;&gt;"",IF('Student Report'!$Q97&gt;=Settings!$B$11,"Mastered",IF('Student Report'!$Q97&gt;=Settings!$B$12,"Approaching","Not Yet")),"")),"")</f>
        <v/>
      </c>
      <c r="L107" s="30">
        <f>IFERROR(IF('Student Report'!$Y97&lt;&gt;"",IF('Student Report'!$Y97&gt;=Settings!$B$11,"Mastered",IF('Student Report'!$Y97&gt;=Settings!$B$12,"Approaching","Not Yet")),IF('Student Report'!$R97&lt;&gt;"",IF('Student Report'!$R97&gt;=Settings!$B$11,"Mastered",IF('Student Report'!$R97&gt;=Settings!$B$12,"Approaching","Not Yet")),"")),"")</f>
        <v/>
      </c>
      <c r="M107" s="30">
        <f>IFERROR(IF('Student Report'!$Z97&lt;&gt;"",IF('Student Report'!$Z97&gt;=Settings!$B$11,"Mastered",IF('Student Report'!$Z97&gt;=Settings!$B$12,"Approaching","Not Yet")),IF('Student Report'!$S97&lt;&gt;"",IF('Student Report'!$S97&gt;=Settings!$B$11,"Mastered",IF('Student Report'!$S97&gt;=Settings!$B$12,"Approaching","Not Yet")),"")),"")</f>
        <v/>
      </c>
      <c r="N107" s="30">
        <f>IFERROR(IF('Student Report'!$AA97&lt;&gt;"",IF('Student Report'!$AA97&gt;=Settings!$B$11,"Mastered",IF('Student Report'!$AA97&gt;=Settings!$B$12,"Approaching","Not Yet")),IF('Student Report'!$T97&lt;&gt;"",IF('Student Report'!$T97&gt;=Settings!$B$11,"Mastered",IF('Student Report'!$T97&gt;=Settings!$B$12,"Approaching","Not Yet")),"")),"")</f>
        <v/>
      </c>
      <c r="O107" s="30">
        <f>IFERROR(IF('Student Report'!$AB97&lt;&gt;"",IF('Student Report'!$AB97&gt;=Settings!$B$11,"Mastered",IF('Student Report'!$AB97&gt;=Settings!$B$12,"Approaching","Not Yet")),IF('Student Report'!$U97&lt;&gt;"",IF('Student Report'!$U97&gt;=Settings!$B$11,"Mastered",IF('Student Report'!$U97&gt;=Settings!$B$12,"Approaching","Not Yet")),"")),"")</f>
        <v/>
      </c>
    </row>
    <row r="108">
      <c r="A108" s="30">
        <f>'Student Report'!$A98</f>
        <v/>
      </c>
      <c r="B108" s="56">
        <f>'Student Report'!$B98</f>
        <v/>
      </c>
      <c r="C108" s="30">
        <f>'Student Report'!$C98</f>
        <v/>
      </c>
      <c r="D108" s="30">
        <f>'Student Report'!$G98</f>
        <v/>
      </c>
      <c r="E108" s="30">
        <f>'Student Report'!$I98</f>
        <v/>
      </c>
      <c r="F108" s="57">
        <f>'Student Report'!$AJ98</f>
        <v/>
      </c>
      <c r="G108" s="30">
        <f>'Student Report'!$AK98</f>
        <v/>
      </c>
      <c r="H108" s="30">
        <f>IF($B108="","",COUNTIF(I108:O108,"Not Yet"))</f>
        <v/>
      </c>
      <c r="I108" s="30">
        <f>IFERROR(IF('Student Report'!$V98&lt;&gt;"",IF('Student Report'!$V98&gt;=Settings!$B$11,"Mastered",IF('Student Report'!$V98&gt;=Settings!$B$12,"Approaching","Not Yet")),IF('Student Report'!$O98&lt;&gt;"",IF('Student Report'!$O98&gt;=Settings!$B$11,"Mastered",IF('Student Report'!$O98&gt;=Settings!$B$12,"Approaching","Not Yet")),"")),"")</f>
        <v/>
      </c>
      <c r="J108" s="30">
        <f>IFERROR(IF('Student Report'!$W98&lt;&gt;"",IF('Student Report'!$W98&gt;=Settings!$B$11,"Mastered",IF('Student Report'!$W98&gt;=Settings!$B$12,"Approaching","Not Yet")),IF('Student Report'!$P98&lt;&gt;"",IF('Student Report'!$P98&gt;=Settings!$B$11,"Mastered",IF('Student Report'!$P98&gt;=Settings!$B$12,"Approaching","Not Yet")),"")),"")</f>
        <v/>
      </c>
      <c r="K108" s="30">
        <f>IFERROR(IF('Student Report'!$X98&lt;&gt;"",IF('Student Report'!$X98&gt;=Settings!$B$11,"Mastered",IF('Student Report'!$X98&gt;=Settings!$B$12,"Approaching","Not Yet")),IF('Student Report'!$Q98&lt;&gt;"",IF('Student Report'!$Q98&gt;=Settings!$B$11,"Mastered",IF('Student Report'!$Q98&gt;=Settings!$B$12,"Approaching","Not Yet")),"")),"")</f>
        <v/>
      </c>
      <c r="L108" s="30">
        <f>IFERROR(IF('Student Report'!$Y98&lt;&gt;"",IF('Student Report'!$Y98&gt;=Settings!$B$11,"Mastered",IF('Student Report'!$Y98&gt;=Settings!$B$12,"Approaching","Not Yet")),IF('Student Report'!$R98&lt;&gt;"",IF('Student Report'!$R98&gt;=Settings!$B$11,"Mastered",IF('Student Report'!$R98&gt;=Settings!$B$12,"Approaching","Not Yet")),"")),"")</f>
        <v/>
      </c>
      <c r="M108" s="30">
        <f>IFERROR(IF('Student Report'!$Z98&lt;&gt;"",IF('Student Report'!$Z98&gt;=Settings!$B$11,"Mastered",IF('Student Report'!$Z98&gt;=Settings!$B$12,"Approaching","Not Yet")),IF('Student Report'!$S98&lt;&gt;"",IF('Student Report'!$S98&gt;=Settings!$B$11,"Mastered",IF('Student Report'!$S98&gt;=Settings!$B$12,"Approaching","Not Yet")),"")),"")</f>
        <v/>
      </c>
      <c r="N108" s="30">
        <f>IFERROR(IF('Student Report'!$AA98&lt;&gt;"",IF('Student Report'!$AA98&gt;=Settings!$B$11,"Mastered",IF('Student Report'!$AA98&gt;=Settings!$B$12,"Approaching","Not Yet")),IF('Student Report'!$T98&lt;&gt;"",IF('Student Report'!$T98&gt;=Settings!$B$11,"Mastered",IF('Student Report'!$T98&gt;=Settings!$B$12,"Approaching","Not Yet")),"")),"")</f>
        <v/>
      </c>
      <c r="O108" s="30">
        <f>IFERROR(IF('Student Report'!$AB98&lt;&gt;"",IF('Student Report'!$AB98&gt;=Settings!$B$11,"Mastered",IF('Student Report'!$AB98&gt;=Settings!$B$12,"Approaching","Not Yet")),IF('Student Report'!$U98&lt;&gt;"",IF('Student Report'!$U98&gt;=Settings!$B$11,"Mastered",IF('Student Report'!$U98&gt;=Settings!$B$12,"Approaching","Not Yet")),"")),"")</f>
        <v/>
      </c>
    </row>
    <row r="109">
      <c r="A109" s="30">
        <f>'Student Report'!$A99</f>
        <v/>
      </c>
      <c r="B109" s="56">
        <f>'Student Report'!$B99</f>
        <v/>
      </c>
      <c r="C109" s="30">
        <f>'Student Report'!$C99</f>
        <v/>
      </c>
      <c r="D109" s="30">
        <f>'Student Report'!$G99</f>
        <v/>
      </c>
      <c r="E109" s="30">
        <f>'Student Report'!$I99</f>
        <v/>
      </c>
      <c r="F109" s="57">
        <f>'Student Report'!$AJ99</f>
        <v/>
      </c>
      <c r="G109" s="30">
        <f>'Student Report'!$AK99</f>
        <v/>
      </c>
      <c r="H109" s="30">
        <f>IF($B109="","",COUNTIF(I109:O109,"Not Yet"))</f>
        <v/>
      </c>
      <c r="I109" s="30">
        <f>IFERROR(IF('Student Report'!$V99&lt;&gt;"",IF('Student Report'!$V99&gt;=Settings!$B$11,"Mastered",IF('Student Report'!$V99&gt;=Settings!$B$12,"Approaching","Not Yet")),IF('Student Report'!$O99&lt;&gt;"",IF('Student Report'!$O99&gt;=Settings!$B$11,"Mastered",IF('Student Report'!$O99&gt;=Settings!$B$12,"Approaching","Not Yet")),"")),"")</f>
        <v/>
      </c>
      <c r="J109" s="30">
        <f>IFERROR(IF('Student Report'!$W99&lt;&gt;"",IF('Student Report'!$W99&gt;=Settings!$B$11,"Mastered",IF('Student Report'!$W99&gt;=Settings!$B$12,"Approaching","Not Yet")),IF('Student Report'!$P99&lt;&gt;"",IF('Student Report'!$P99&gt;=Settings!$B$11,"Mastered",IF('Student Report'!$P99&gt;=Settings!$B$12,"Approaching","Not Yet")),"")),"")</f>
        <v/>
      </c>
      <c r="K109" s="30">
        <f>IFERROR(IF('Student Report'!$X99&lt;&gt;"",IF('Student Report'!$X99&gt;=Settings!$B$11,"Mastered",IF('Student Report'!$X99&gt;=Settings!$B$12,"Approaching","Not Yet")),IF('Student Report'!$Q99&lt;&gt;"",IF('Student Report'!$Q99&gt;=Settings!$B$11,"Mastered",IF('Student Report'!$Q99&gt;=Settings!$B$12,"Approaching","Not Yet")),"")),"")</f>
        <v/>
      </c>
      <c r="L109" s="30">
        <f>IFERROR(IF('Student Report'!$Y99&lt;&gt;"",IF('Student Report'!$Y99&gt;=Settings!$B$11,"Mastered",IF('Student Report'!$Y99&gt;=Settings!$B$12,"Approaching","Not Yet")),IF('Student Report'!$R99&lt;&gt;"",IF('Student Report'!$R99&gt;=Settings!$B$11,"Mastered",IF('Student Report'!$R99&gt;=Settings!$B$12,"Approaching","Not Yet")),"")),"")</f>
        <v/>
      </c>
      <c r="M109" s="30">
        <f>IFERROR(IF('Student Report'!$Z99&lt;&gt;"",IF('Student Report'!$Z99&gt;=Settings!$B$11,"Mastered",IF('Student Report'!$Z99&gt;=Settings!$B$12,"Approaching","Not Yet")),IF('Student Report'!$S99&lt;&gt;"",IF('Student Report'!$S99&gt;=Settings!$B$11,"Mastered",IF('Student Report'!$S99&gt;=Settings!$B$12,"Approaching","Not Yet")),"")),"")</f>
        <v/>
      </c>
      <c r="N109" s="30">
        <f>IFERROR(IF('Student Report'!$AA99&lt;&gt;"",IF('Student Report'!$AA99&gt;=Settings!$B$11,"Mastered",IF('Student Report'!$AA99&gt;=Settings!$B$12,"Approaching","Not Yet")),IF('Student Report'!$T99&lt;&gt;"",IF('Student Report'!$T99&gt;=Settings!$B$11,"Mastered",IF('Student Report'!$T99&gt;=Settings!$B$12,"Approaching","Not Yet")),"")),"")</f>
        <v/>
      </c>
      <c r="O109" s="30">
        <f>IFERROR(IF('Student Report'!$AB99&lt;&gt;"",IF('Student Report'!$AB99&gt;=Settings!$B$11,"Mastered",IF('Student Report'!$AB99&gt;=Settings!$B$12,"Approaching","Not Yet")),IF('Student Report'!$U99&lt;&gt;"",IF('Student Report'!$U99&gt;=Settings!$B$11,"Mastered",IF('Student Report'!$U99&gt;=Settings!$B$12,"Approaching","Not Yet")),"")),"")</f>
        <v/>
      </c>
    </row>
    <row r="110">
      <c r="A110" s="30">
        <f>'Student Report'!$A100</f>
        <v/>
      </c>
      <c r="B110" s="56">
        <f>'Student Report'!$B100</f>
        <v/>
      </c>
      <c r="C110" s="30">
        <f>'Student Report'!$C100</f>
        <v/>
      </c>
      <c r="D110" s="30">
        <f>'Student Report'!$G100</f>
        <v/>
      </c>
      <c r="E110" s="30">
        <f>'Student Report'!$I100</f>
        <v/>
      </c>
      <c r="F110" s="57">
        <f>'Student Report'!$AJ100</f>
        <v/>
      </c>
      <c r="G110" s="30">
        <f>'Student Report'!$AK100</f>
        <v/>
      </c>
      <c r="H110" s="30">
        <f>IF($B110="","",COUNTIF(I110:O110,"Not Yet"))</f>
        <v/>
      </c>
      <c r="I110" s="30">
        <f>IFERROR(IF('Student Report'!$V100&lt;&gt;"",IF('Student Report'!$V100&gt;=Settings!$B$11,"Mastered",IF('Student Report'!$V100&gt;=Settings!$B$12,"Approaching","Not Yet")),IF('Student Report'!$O100&lt;&gt;"",IF('Student Report'!$O100&gt;=Settings!$B$11,"Mastered",IF('Student Report'!$O100&gt;=Settings!$B$12,"Approaching","Not Yet")),"")),"")</f>
        <v/>
      </c>
      <c r="J110" s="30">
        <f>IFERROR(IF('Student Report'!$W100&lt;&gt;"",IF('Student Report'!$W100&gt;=Settings!$B$11,"Mastered",IF('Student Report'!$W100&gt;=Settings!$B$12,"Approaching","Not Yet")),IF('Student Report'!$P100&lt;&gt;"",IF('Student Report'!$P100&gt;=Settings!$B$11,"Mastered",IF('Student Report'!$P100&gt;=Settings!$B$12,"Approaching","Not Yet")),"")),"")</f>
        <v/>
      </c>
      <c r="K110" s="30">
        <f>IFERROR(IF('Student Report'!$X100&lt;&gt;"",IF('Student Report'!$X100&gt;=Settings!$B$11,"Mastered",IF('Student Report'!$X100&gt;=Settings!$B$12,"Approaching","Not Yet")),IF('Student Report'!$Q100&lt;&gt;"",IF('Student Report'!$Q100&gt;=Settings!$B$11,"Mastered",IF('Student Report'!$Q100&gt;=Settings!$B$12,"Approaching","Not Yet")),"")),"")</f>
        <v/>
      </c>
      <c r="L110" s="30">
        <f>IFERROR(IF('Student Report'!$Y100&lt;&gt;"",IF('Student Report'!$Y100&gt;=Settings!$B$11,"Mastered",IF('Student Report'!$Y100&gt;=Settings!$B$12,"Approaching","Not Yet")),IF('Student Report'!$R100&lt;&gt;"",IF('Student Report'!$R100&gt;=Settings!$B$11,"Mastered",IF('Student Report'!$R100&gt;=Settings!$B$12,"Approaching","Not Yet")),"")),"")</f>
        <v/>
      </c>
      <c r="M110" s="30">
        <f>IFERROR(IF('Student Report'!$Z100&lt;&gt;"",IF('Student Report'!$Z100&gt;=Settings!$B$11,"Mastered",IF('Student Report'!$Z100&gt;=Settings!$B$12,"Approaching","Not Yet")),IF('Student Report'!$S100&lt;&gt;"",IF('Student Report'!$S100&gt;=Settings!$B$11,"Mastered",IF('Student Report'!$S100&gt;=Settings!$B$12,"Approaching","Not Yet")),"")),"")</f>
        <v/>
      </c>
      <c r="N110" s="30">
        <f>IFERROR(IF('Student Report'!$AA100&lt;&gt;"",IF('Student Report'!$AA100&gt;=Settings!$B$11,"Mastered",IF('Student Report'!$AA100&gt;=Settings!$B$12,"Approaching","Not Yet")),IF('Student Report'!$T100&lt;&gt;"",IF('Student Report'!$T100&gt;=Settings!$B$11,"Mastered",IF('Student Report'!$T100&gt;=Settings!$B$12,"Approaching","Not Yet")),"")),"")</f>
        <v/>
      </c>
      <c r="O110" s="30">
        <f>IFERROR(IF('Student Report'!$AB100&lt;&gt;"",IF('Student Report'!$AB100&gt;=Settings!$B$11,"Mastered",IF('Student Report'!$AB100&gt;=Settings!$B$12,"Approaching","Not Yet")),IF('Student Report'!$U100&lt;&gt;"",IF('Student Report'!$U100&gt;=Settings!$B$11,"Mastered",IF('Student Report'!$U100&gt;=Settings!$B$12,"Approaching","Not Yet")),"")),"")</f>
        <v/>
      </c>
    </row>
    <row r="111">
      <c r="A111" s="30">
        <f>'Student Report'!$A101</f>
        <v/>
      </c>
      <c r="B111" s="56">
        <f>'Student Report'!$B101</f>
        <v/>
      </c>
      <c r="C111" s="30">
        <f>'Student Report'!$C101</f>
        <v/>
      </c>
      <c r="D111" s="30">
        <f>'Student Report'!$G101</f>
        <v/>
      </c>
      <c r="E111" s="30">
        <f>'Student Report'!$I101</f>
        <v/>
      </c>
      <c r="F111" s="57">
        <f>'Student Report'!$AJ101</f>
        <v/>
      </c>
      <c r="G111" s="30">
        <f>'Student Report'!$AK101</f>
        <v/>
      </c>
      <c r="H111" s="30">
        <f>IF($B111="","",COUNTIF(I111:O111,"Not Yet"))</f>
        <v/>
      </c>
      <c r="I111" s="30">
        <f>IFERROR(IF('Student Report'!$V101&lt;&gt;"",IF('Student Report'!$V101&gt;=Settings!$B$11,"Mastered",IF('Student Report'!$V101&gt;=Settings!$B$12,"Approaching","Not Yet")),IF('Student Report'!$O101&lt;&gt;"",IF('Student Report'!$O101&gt;=Settings!$B$11,"Mastered",IF('Student Report'!$O101&gt;=Settings!$B$12,"Approaching","Not Yet")),"")),"")</f>
        <v/>
      </c>
      <c r="J111" s="30">
        <f>IFERROR(IF('Student Report'!$W101&lt;&gt;"",IF('Student Report'!$W101&gt;=Settings!$B$11,"Mastered",IF('Student Report'!$W101&gt;=Settings!$B$12,"Approaching","Not Yet")),IF('Student Report'!$P101&lt;&gt;"",IF('Student Report'!$P101&gt;=Settings!$B$11,"Mastered",IF('Student Report'!$P101&gt;=Settings!$B$12,"Approaching","Not Yet")),"")),"")</f>
        <v/>
      </c>
      <c r="K111" s="30">
        <f>IFERROR(IF('Student Report'!$X101&lt;&gt;"",IF('Student Report'!$X101&gt;=Settings!$B$11,"Mastered",IF('Student Report'!$X101&gt;=Settings!$B$12,"Approaching","Not Yet")),IF('Student Report'!$Q101&lt;&gt;"",IF('Student Report'!$Q101&gt;=Settings!$B$11,"Mastered",IF('Student Report'!$Q101&gt;=Settings!$B$12,"Approaching","Not Yet")),"")),"")</f>
        <v/>
      </c>
      <c r="L111" s="30">
        <f>IFERROR(IF('Student Report'!$Y101&lt;&gt;"",IF('Student Report'!$Y101&gt;=Settings!$B$11,"Mastered",IF('Student Report'!$Y101&gt;=Settings!$B$12,"Approaching","Not Yet")),IF('Student Report'!$R101&lt;&gt;"",IF('Student Report'!$R101&gt;=Settings!$B$11,"Mastered",IF('Student Report'!$R101&gt;=Settings!$B$12,"Approaching","Not Yet")),"")),"")</f>
        <v/>
      </c>
      <c r="M111" s="30">
        <f>IFERROR(IF('Student Report'!$Z101&lt;&gt;"",IF('Student Report'!$Z101&gt;=Settings!$B$11,"Mastered",IF('Student Report'!$Z101&gt;=Settings!$B$12,"Approaching","Not Yet")),IF('Student Report'!$S101&lt;&gt;"",IF('Student Report'!$S101&gt;=Settings!$B$11,"Mastered",IF('Student Report'!$S101&gt;=Settings!$B$12,"Approaching","Not Yet")),"")),"")</f>
        <v/>
      </c>
      <c r="N111" s="30">
        <f>IFERROR(IF('Student Report'!$AA101&lt;&gt;"",IF('Student Report'!$AA101&gt;=Settings!$B$11,"Mastered",IF('Student Report'!$AA101&gt;=Settings!$B$12,"Approaching","Not Yet")),IF('Student Report'!$T101&lt;&gt;"",IF('Student Report'!$T101&gt;=Settings!$B$11,"Mastered",IF('Student Report'!$T101&gt;=Settings!$B$12,"Approaching","Not Yet")),"")),"")</f>
        <v/>
      </c>
      <c r="O111" s="30">
        <f>IFERROR(IF('Student Report'!$AB101&lt;&gt;"",IF('Student Report'!$AB101&gt;=Settings!$B$11,"Mastered",IF('Student Report'!$AB101&gt;=Settings!$B$12,"Approaching","Not Yet")),IF('Student Report'!$U101&lt;&gt;"",IF('Student Report'!$U101&gt;=Settings!$B$11,"Mastered",IF('Student Report'!$U101&gt;=Settings!$B$12,"Approaching","Not Yet")),"")),"")</f>
        <v/>
      </c>
    </row>
    <row r="112">
      <c r="A112" s="30">
        <f>'Student Report'!$A102</f>
        <v/>
      </c>
      <c r="B112" s="56">
        <f>'Student Report'!$B102</f>
        <v/>
      </c>
      <c r="C112" s="30">
        <f>'Student Report'!$C102</f>
        <v/>
      </c>
      <c r="D112" s="30">
        <f>'Student Report'!$G102</f>
        <v/>
      </c>
      <c r="E112" s="30">
        <f>'Student Report'!$I102</f>
        <v/>
      </c>
      <c r="F112" s="57">
        <f>'Student Report'!$AJ102</f>
        <v/>
      </c>
      <c r="G112" s="30">
        <f>'Student Report'!$AK102</f>
        <v/>
      </c>
      <c r="H112" s="30">
        <f>IF($B112="","",COUNTIF(I112:O112,"Not Yet"))</f>
        <v/>
      </c>
      <c r="I112" s="30">
        <f>IFERROR(IF('Student Report'!$V102&lt;&gt;"",IF('Student Report'!$V102&gt;=Settings!$B$11,"Mastered",IF('Student Report'!$V102&gt;=Settings!$B$12,"Approaching","Not Yet")),IF('Student Report'!$O102&lt;&gt;"",IF('Student Report'!$O102&gt;=Settings!$B$11,"Mastered",IF('Student Report'!$O102&gt;=Settings!$B$12,"Approaching","Not Yet")),"")),"")</f>
        <v/>
      </c>
      <c r="J112" s="30">
        <f>IFERROR(IF('Student Report'!$W102&lt;&gt;"",IF('Student Report'!$W102&gt;=Settings!$B$11,"Mastered",IF('Student Report'!$W102&gt;=Settings!$B$12,"Approaching","Not Yet")),IF('Student Report'!$P102&lt;&gt;"",IF('Student Report'!$P102&gt;=Settings!$B$11,"Mastered",IF('Student Report'!$P102&gt;=Settings!$B$12,"Approaching","Not Yet")),"")),"")</f>
        <v/>
      </c>
      <c r="K112" s="30">
        <f>IFERROR(IF('Student Report'!$X102&lt;&gt;"",IF('Student Report'!$X102&gt;=Settings!$B$11,"Mastered",IF('Student Report'!$X102&gt;=Settings!$B$12,"Approaching","Not Yet")),IF('Student Report'!$Q102&lt;&gt;"",IF('Student Report'!$Q102&gt;=Settings!$B$11,"Mastered",IF('Student Report'!$Q102&gt;=Settings!$B$12,"Approaching","Not Yet")),"")),"")</f>
        <v/>
      </c>
      <c r="L112" s="30">
        <f>IFERROR(IF('Student Report'!$Y102&lt;&gt;"",IF('Student Report'!$Y102&gt;=Settings!$B$11,"Mastered",IF('Student Report'!$Y102&gt;=Settings!$B$12,"Approaching","Not Yet")),IF('Student Report'!$R102&lt;&gt;"",IF('Student Report'!$R102&gt;=Settings!$B$11,"Mastered",IF('Student Report'!$R102&gt;=Settings!$B$12,"Approaching","Not Yet")),"")),"")</f>
        <v/>
      </c>
      <c r="M112" s="30">
        <f>IFERROR(IF('Student Report'!$Z102&lt;&gt;"",IF('Student Report'!$Z102&gt;=Settings!$B$11,"Mastered",IF('Student Report'!$Z102&gt;=Settings!$B$12,"Approaching","Not Yet")),IF('Student Report'!$S102&lt;&gt;"",IF('Student Report'!$S102&gt;=Settings!$B$11,"Mastered",IF('Student Report'!$S102&gt;=Settings!$B$12,"Approaching","Not Yet")),"")),"")</f>
        <v/>
      </c>
      <c r="N112" s="30">
        <f>IFERROR(IF('Student Report'!$AA102&lt;&gt;"",IF('Student Report'!$AA102&gt;=Settings!$B$11,"Mastered",IF('Student Report'!$AA102&gt;=Settings!$B$12,"Approaching","Not Yet")),IF('Student Report'!$T102&lt;&gt;"",IF('Student Report'!$T102&gt;=Settings!$B$11,"Mastered",IF('Student Report'!$T102&gt;=Settings!$B$12,"Approaching","Not Yet")),"")),"")</f>
        <v/>
      </c>
      <c r="O112" s="30">
        <f>IFERROR(IF('Student Report'!$AB102&lt;&gt;"",IF('Student Report'!$AB102&gt;=Settings!$B$11,"Mastered",IF('Student Report'!$AB102&gt;=Settings!$B$12,"Approaching","Not Yet")),IF('Student Report'!$U102&lt;&gt;"",IF('Student Report'!$U102&gt;=Settings!$B$11,"Mastered",IF('Student Report'!$U102&gt;=Settings!$B$12,"Approaching","Not Yet")),"")),"")</f>
        <v/>
      </c>
    </row>
    <row r="113">
      <c r="A113" s="30">
        <f>'Student Report'!$A103</f>
        <v/>
      </c>
      <c r="B113" s="56">
        <f>'Student Report'!$B103</f>
        <v/>
      </c>
      <c r="C113" s="30">
        <f>'Student Report'!$C103</f>
        <v/>
      </c>
      <c r="D113" s="30">
        <f>'Student Report'!$G103</f>
        <v/>
      </c>
      <c r="E113" s="30">
        <f>'Student Report'!$I103</f>
        <v/>
      </c>
      <c r="F113" s="57">
        <f>'Student Report'!$AJ103</f>
        <v/>
      </c>
      <c r="G113" s="30">
        <f>'Student Report'!$AK103</f>
        <v/>
      </c>
      <c r="H113" s="30">
        <f>IF($B113="","",COUNTIF(I113:O113,"Not Yet"))</f>
        <v/>
      </c>
      <c r="I113" s="30">
        <f>IFERROR(IF('Student Report'!$V103&lt;&gt;"",IF('Student Report'!$V103&gt;=Settings!$B$11,"Mastered",IF('Student Report'!$V103&gt;=Settings!$B$12,"Approaching","Not Yet")),IF('Student Report'!$O103&lt;&gt;"",IF('Student Report'!$O103&gt;=Settings!$B$11,"Mastered",IF('Student Report'!$O103&gt;=Settings!$B$12,"Approaching","Not Yet")),"")),"")</f>
        <v/>
      </c>
      <c r="J113" s="30">
        <f>IFERROR(IF('Student Report'!$W103&lt;&gt;"",IF('Student Report'!$W103&gt;=Settings!$B$11,"Mastered",IF('Student Report'!$W103&gt;=Settings!$B$12,"Approaching","Not Yet")),IF('Student Report'!$P103&lt;&gt;"",IF('Student Report'!$P103&gt;=Settings!$B$11,"Mastered",IF('Student Report'!$P103&gt;=Settings!$B$12,"Approaching","Not Yet")),"")),"")</f>
        <v/>
      </c>
      <c r="K113" s="30">
        <f>IFERROR(IF('Student Report'!$X103&lt;&gt;"",IF('Student Report'!$X103&gt;=Settings!$B$11,"Mastered",IF('Student Report'!$X103&gt;=Settings!$B$12,"Approaching","Not Yet")),IF('Student Report'!$Q103&lt;&gt;"",IF('Student Report'!$Q103&gt;=Settings!$B$11,"Mastered",IF('Student Report'!$Q103&gt;=Settings!$B$12,"Approaching","Not Yet")),"")),"")</f>
        <v/>
      </c>
      <c r="L113" s="30">
        <f>IFERROR(IF('Student Report'!$Y103&lt;&gt;"",IF('Student Report'!$Y103&gt;=Settings!$B$11,"Mastered",IF('Student Report'!$Y103&gt;=Settings!$B$12,"Approaching","Not Yet")),IF('Student Report'!$R103&lt;&gt;"",IF('Student Report'!$R103&gt;=Settings!$B$11,"Mastered",IF('Student Report'!$R103&gt;=Settings!$B$12,"Approaching","Not Yet")),"")),"")</f>
        <v/>
      </c>
      <c r="M113" s="30">
        <f>IFERROR(IF('Student Report'!$Z103&lt;&gt;"",IF('Student Report'!$Z103&gt;=Settings!$B$11,"Mastered",IF('Student Report'!$Z103&gt;=Settings!$B$12,"Approaching","Not Yet")),IF('Student Report'!$S103&lt;&gt;"",IF('Student Report'!$S103&gt;=Settings!$B$11,"Mastered",IF('Student Report'!$S103&gt;=Settings!$B$12,"Approaching","Not Yet")),"")),"")</f>
        <v/>
      </c>
      <c r="N113" s="30">
        <f>IFERROR(IF('Student Report'!$AA103&lt;&gt;"",IF('Student Report'!$AA103&gt;=Settings!$B$11,"Mastered",IF('Student Report'!$AA103&gt;=Settings!$B$12,"Approaching","Not Yet")),IF('Student Report'!$T103&lt;&gt;"",IF('Student Report'!$T103&gt;=Settings!$B$11,"Mastered",IF('Student Report'!$T103&gt;=Settings!$B$12,"Approaching","Not Yet")),"")),"")</f>
        <v/>
      </c>
      <c r="O113" s="30">
        <f>IFERROR(IF('Student Report'!$AB103&lt;&gt;"",IF('Student Report'!$AB103&gt;=Settings!$B$11,"Mastered",IF('Student Report'!$AB103&gt;=Settings!$B$12,"Approaching","Not Yet")),IF('Student Report'!$U103&lt;&gt;"",IF('Student Report'!$U103&gt;=Settings!$B$11,"Mastered",IF('Student Report'!$U103&gt;=Settings!$B$12,"Approaching","Not Yet")),"")),"")</f>
        <v/>
      </c>
    </row>
    <row r="114">
      <c r="A114" s="30">
        <f>'Student Report'!$A104</f>
        <v/>
      </c>
      <c r="B114" s="56">
        <f>'Student Report'!$B104</f>
        <v/>
      </c>
      <c r="C114" s="30">
        <f>'Student Report'!$C104</f>
        <v/>
      </c>
      <c r="D114" s="30">
        <f>'Student Report'!$G104</f>
        <v/>
      </c>
      <c r="E114" s="30">
        <f>'Student Report'!$I104</f>
        <v/>
      </c>
      <c r="F114" s="57">
        <f>'Student Report'!$AJ104</f>
        <v/>
      </c>
      <c r="G114" s="30">
        <f>'Student Report'!$AK104</f>
        <v/>
      </c>
      <c r="H114" s="30">
        <f>IF($B114="","",COUNTIF(I114:O114,"Not Yet"))</f>
        <v/>
      </c>
      <c r="I114" s="30">
        <f>IFERROR(IF('Student Report'!$V104&lt;&gt;"",IF('Student Report'!$V104&gt;=Settings!$B$11,"Mastered",IF('Student Report'!$V104&gt;=Settings!$B$12,"Approaching","Not Yet")),IF('Student Report'!$O104&lt;&gt;"",IF('Student Report'!$O104&gt;=Settings!$B$11,"Mastered",IF('Student Report'!$O104&gt;=Settings!$B$12,"Approaching","Not Yet")),"")),"")</f>
        <v/>
      </c>
      <c r="J114" s="30">
        <f>IFERROR(IF('Student Report'!$W104&lt;&gt;"",IF('Student Report'!$W104&gt;=Settings!$B$11,"Mastered",IF('Student Report'!$W104&gt;=Settings!$B$12,"Approaching","Not Yet")),IF('Student Report'!$P104&lt;&gt;"",IF('Student Report'!$P104&gt;=Settings!$B$11,"Mastered",IF('Student Report'!$P104&gt;=Settings!$B$12,"Approaching","Not Yet")),"")),"")</f>
        <v/>
      </c>
      <c r="K114" s="30">
        <f>IFERROR(IF('Student Report'!$X104&lt;&gt;"",IF('Student Report'!$X104&gt;=Settings!$B$11,"Mastered",IF('Student Report'!$X104&gt;=Settings!$B$12,"Approaching","Not Yet")),IF('Student Report'!$Q104&lt;&gt;"",IF('Student Report'!$Q104&gt;=Settings!$B$11,"Mastered",IF('Student Report'!$Q104&gt;=Settings!$B$12,"Approaching","Not Yet")),"")),"")</f>
        <v/>
      </c>
      <c r="L114" s="30">
        <f>IFERROR(IF('Student Report'!$Y104&lt;&gt;"",IF('Student Report'!$Y104&gt;=Settings!$B$11,"Mastered",IF('Student Report'!$Y104&gt;=Settings!$B$12,"Approaching","Not Yet")),IF('Student Report'!$R104&lt;&gt;"",IF('Student Report'!$R104&gt;=Settings!$B$11,"Mastered",IF('Student Report'!$R104&gt;=Settings!$B$12,"Approaching","Not Yet")),"")),"")</f>
        <v/>
      </c>
      <c r="M114" s="30">
        <f>IFERROR(IF('Student Report'!$Z104&lt;&gt;"",IF('Student Report'!$Z104&gt;=Settings!$B$11,"Mastered",IF('Student Report'!$Z104&gt;=Settings!$B$12,"Approaching","Not Yet")),IF('Student Report'!$S104&lt;&gt;"",IF('Student Report'!$S104&gt;=Settings!$B$11,"Mastered",IF('Student Report'!$S104&gt;=Settings!$B$12,"Approaching","Not Yet")),"")),"")</f>
        <v/>
      </c>
      <c r="N114" s="30">
        <f>IFERROR(IF('Student Report'!$AA104&lt;&gt;"",IF('Student Report'!$AA104&gt;=Settings!$B$11,"Mastered",IF('Student Report'!$AA104&gt;=Settings!$B$12,"Approaching","Not Yet")),IF('Student Report'!$T104&lt;&gt;"",IF('Student Report'!$T104&gt;=Settings!$B$11,"Mastered",IF('Student Report'!$T104&gt;=Settings!$B$12,"Approaching","Not Yet")),"")),"")</f>
        <v/>
      </c>
      <c r="O114" s="30">
        <f>IFERROR(IF('Student Report'!$AB104&lt;&gt;"",IF('Student Report'!$AB104&gt;=Settings!$B$11,"Mastered",IF('Student Report'!$AB104&gt;=Settings!$B$12,"Approaching","Not Yet")),IF('Student Report'!$U104&lt;&gt;"",IF('Student Report'!$U104&gt;=Settings!$B$11,"Mastered",IF('Student Report'!$U104&gt;=Settings!$B$12,"Approaching","Not Yet")),"")),"")</f>
        <v/>
      </c>
    </row>
    <row r="115">
      <c r="A115" s="30">
        <f>'Student Report'!$A105</f>
        <v/>
      </c>
      <c r="B115" s="56">
        <f>'Student Report'!$B105</f>
        <v/>
      </c>
      <c r="C115" s="30">
        <f>'Student Report'!$C105</f>
        <v/>
      </c>
      <c r="D115" s="30">
        <f>'Student Report'!$G105</f>
        <v/>
      </c>
      <c r="E115" s="30">
        <f>'Student Report'!$I105</f>
        <v/>
      </c>
      <c r="F115" s="57">
        <f>'Student Report'!$AJ105</f>
        <v/>
      </c>
      <c r="G115" s="30">
        <f>'Student Report'!$AK105</f>
        <v/>
      </c>
      <c r="H115" s="30">
        <f>IF($B115="","",COUNTIF(I115:O115,"Not Yet"))</f>
        <v/>
      </c>
      <c r="I115" s="30">
        <f>IFERROR(IF('Student Report'!$V105&lt;&gt;"",IF('Student Report'!$V105&gt;=Settings!$B$11,"Mastered",IF('Student Report'!$V105&gt;=Settings!$B$12,"Approaching","Not Yet")),IF('Student Report'!$O105&lt;&gt;"",IF('Student Report'!$O105&gt;=Settings!$B$11,"Mastered",IF('Student Report'!$O105&gt;=Settings!$B$12,"Approaching","Not Yet")),"")),"")</f>
        <v/>
      </c>
      <c r="J115" s="30">
        <f>IFERROR(IF('Student Report'!$W105&lt;&gt;"",IF('Student Report'!$W105&gt;=Settings!$B$11,"Mastered",IF('Student Report'!$W105&gt;=Settings!$B$12,"Approaching","Not Yet")),IF('Student Report'!$P105&lt;&gt;"",IF('Student Report'!$P105&gt;=Settings!$B$11,"Mastered",IF('Student Report'!$P105&gt;=Settings!$B$12,"Approaching","Not Yet")),"")),"")</f>
        <v/>
      </c>
      <c r="K115" s="30">
        <f>IFERROR(IF('Student Report'!$X105&lt;&gt;"",IF('Student Report'!$X105&gt;=Settings!$B$11,"Mastered",IF('Student Report'!$X105&gt;=Settings!$B$12,"Approaching","Not Yet")),IF('Student Report'!$Q105&lt;&gt;"",IF('Student Report'!$Q105&gt;=Settings!$B$11,"Mastered",IF('Student Report'!$Q105&gt;=Settings!$B$12,"Approaching","Not Yet")),"")),"")</f>
        <v/>
      </c>
      <c r="L115" s="30">
        <f>IFERROR(IF('Student Report'!$Y105&lt;&gt;"",IF('Student Report'!$Y105&gt;=Settings!$B$11,"Mastered",IF('Student Report'!$Y105&gt;=Settings!$B$12,"Approaching","Not Yet")),IF('Student Report'!$R105&lt;&gt;"",IF('Student Report'!$R105&gt;=Settings!$B$11,"Mastered",IF('Student Report'!$R105&gt;=Settings!$B$12,"Approaching","Not Yet")),"")),"")</f>
        <v/>
      </c>
      <c r="M115" s="30">
        <f>IFERROR(IF('Student Report'!$Z105&lt;&gt;"",IF('Student Report'!$Z105&gt;=Settings!$B$11,"Mastered",IF('Student Report'!$Z105&gt;=Settings!$B$12,"Approaching","Not Yet")),IF('Student Report'!$S105&lt;&gt;"",IF('Student Report'!$S105&gt;=Settings!$B$11,"Mastered",IF('Student Report'!$S105&gt;=Settings!$B$12,"Approaching","Not Yet")),"")),"")</f>
        <v/>
      </c>
      <c r="N115" s="30">
        <f>IFERROR(IF('Student Report'!$AA105&lt;&gt;"",IF('Student Report'!$AA105&gt;=Settings!$B$11,"Mastered",IF('Student Report'!$AA105&gt;=Settings!$B$12,"Approaching","Not Yet")),IF('Student Report'!$T105&lt;&gt;"",IF('Student Report'!$T105&gt;=Settings!$B$11,"Mastered",IF('Student Report'!$T105&gt;=Settings!$B$12,"Approaching","Not Yet")),"")),"")</f>
        <v/>
      </c>
      <c r="O115" s="30">
        <f>IFERROR(IF('Student Report'!$AB105&lt;&gt;"",IF('Student Report'!$AB105&gt;=Settings!$B$11,"Mastered",IF('Student Report'!$AB105&gt;=Settings!$B$12,"Approaching","Not Yet")),IF('Student Report'!$U105&lt;&gt;"",IF('Student Report'!$U105&gt;=Settings!$B$11,"Mastered",IF('Student Report'!$U105&gt;=Settings!$B$12,"Approaching","Not Yet")),"")),"")</f>
        <v/>
      </c>
    </row>
    <row r="116">
      <c r="A116" s="30">
        <f>'Student Report'!$A106</f>
        <v/>
      </c>
      <c r="B116" s="56">
        <f>'Student Report'!$B106</f>
        <v/>
      </c>
      <c r="C116" s="30">
        <f>'Student Report'!$C106</f>
        <v/>
      </c>
      <c r="D116" s="30">
        <f>'Student Report'!$G106</f>
        <v/>
      </c>
      <c r="E116" s="30">
        <f>'Student Report'!$I106</f>
        <v/>
      </c>
      <c r="F116" s="57">
        <f>'Student Report'!$AJ106</f>
        <v/>
      </c>
      <c r="G116" s="30">
        <f>'Student Report'!$AK106</f>
        <v/>
      </c>
      <c r="H116" s="30">
        <f>IF($B116="","",COUNTIF(I116:O116,"Not Yet"))</f>
        <v/>
      </c>
      <c r="I116" s="30">
        <f>IFERROR(IF('Student Report'!$V106&lt;&gt;"",IF('Student Report'!$V106&gt;=Settings!$B$11,"Mastered",IF('Student Report'!$V106&gt;=Settings!$B$12,"Approaching","Not Yet")),IF('Student Report'!$O106&lt;&gt;"",IF('Student Report'!$O106&gt;=Settings!$B$11,"Mastered",IF('Student Report'!$O106&gt;=Settings!$B$12,"Approaching","Not Yet")),"")),"")</f>
        <v/>
      </c>
      <c r="J116" s="30">
        <f>IFERROR(IF('Student Report'!$W106&lt;&gt;"",IF('Student Report'!$W106&gt;=Settings!$B$11,"Mastered",IF('Student Report'!$W106&gt;=Settings!$B$12,"Approaching","Not Yet")),IF('Student Report'!$P106&lt;&gt;"",IF('Student Report'!$P106&gt;=Settings!$B$11,"Mastered",IF('Student Report'!$P106&gt;=Settings!$B$12,"Approaching","Not Yet")),"")),"")</f>
        <v/>
      </c>
      <c r="K116" s="30">
        <f>IFERROR(IF('Student Report'!$X106&lt;&gt;"",IF('Student Report'!$X106&gt;=Settings!$B$11,"Mastered",IF('Student Report'!$X106&gt;=Settings!$B$12,"Approaching","Not Yet")),IF('Student Report'!$Q106&lt;&gt;"",IF('Student Report'!$Q106&gt;=Settings!$B$11,"Mastered",IF('Student Report'!$Q106&gt;=Settings!$B$12,"Approaching","Not Yet")),"")),"")</f>
        <v/>
      </c>
      <c r="L116" s="30">
        <f>IFERROR(IF('Student Report'!$Y106&lt;&gt;"",IF('Student Report'!$Y106&gt;=Settings!$B$11,"Mastered",IF('Student Report'!$Y106&gt;=Settings!$B$12,"Approaching","Not Yet")),IF('Student Report'!$R106&lt;&gt;"",IF('Student Report'!$R106&gt;=Settings!$B$11,"Mastered",IF('Student Report'!$R106&gt;=Settings!$B$12,"Approaching","Not Yet")),"")),"")</f>
        <v/>
      </c>
      <c r="M116" s="30">
        <f>IFERROR(IF('Student Report'!$Z106&lt;&gt;"",IF('Student Report'!$Z106&gt;=Settings!$B$11,"Mastered",IF('Student Report'!$Z106&gt;=Settings!$B$12,"Approaching","Not Yet")),IF('Student Report'!$S106&lt;&gt;"",IF('Student Report'!$S106&gt;=Settings!$B$11,"Mastered",IF('Student Report'!$S106&gt;=Settings!$B$12,"Approaching","Not Yet")),"")),"")</f>
        <v/>
      </c>
      <c r="N116" s="30">
        <f>IFERROR(IF('Student Report'!$AA106&lt;&gt;"",IF('Student Report'!$AA106&gt;=Settings!$B$11,"Mastered",IF('Student Report'!$AA106&gt;=Settings!$B$12,"Approaching","Not Yet")),IF('Student Report'!$T106&lt;&gt;"",IF('Student Report'!$T106&gt;=Settings!$B$11,"Mastered",IF('Student Report'!$T106&gt;=Settings!$B$12,"Approaching","Not Yet")),"")),"")</f>
        <v/>
      </c>
      <c r="O116" s="30">
        <f>IFERROR(IF('Student Report'!$AB106&lt;&gt;"",IF('Student Report'!$AB106&gt;=Settings!$B$11,"Mastered",IF('Student Report'!$AB106&gt;=Settings!$B$12,"Approaching","Not Yet")),IF('Student Report'!$U106&lt;&gt;"",IF('Student Report'!$U106&gt;=Settings!$B$11,"Mastered",IF('Student Report'!$U106&gt;=Settings!$B$12,"Approaching","Not Yet")),"")),"")</f>
        <v/>
      </c>
    </row>
    <row r="117">
      <c r="A117" s="30">
        <f>'Student Report'!$A107</f>
        <v/>
      </c>
      <c r="B117" s="56">
        <f>'Student Report'!$B107</f>
        <v/>
      </c>
      <c r="C117" s="30">
        <f>'Student Report'!$C107</f>
        <v/>
      </c>
      <c r="D117" s="30">
        <f>'Student Report'!$G107</f>
        <v/>
      </c>
      <c r="E117" s="30">
        <f>'Student Report'!$I107</f>
        <v/>
      </c>
      <c r="F117" s="57">
        <f>'Student Report'!$AJ107</f>
        <v/>
      </c>
      <c r="G117" s="30">
        <f>'Student Report'!$AK107</f>
        <v/>
      </c>
      <c r="H117" s="30">
        <f>IF($B117="","",COUNTIF(I117:O117,"Not Yet"))</f>
        <v/>
      </c>
      <c r="I117" s="30">
        <f>IFERROR(IF('Student Report'!$V107&lt;&gt;"",IF('Student Report'!$V107&gt;=Settings!$B$11,"Mastered",IF('Student Report'!$V107&gt;=Settings!$B$12,"Approaching","Not Yet")),IF('Student Report'!$O107&lt;&gt;"",IF('Student Report'!$O107&gt;=Settings!$B$11,"Mastered",IF('Student Report'!$O107&gt;=Settings!$B$12,"Approaching","Not Yet")),"")),"")</f>
        <v/>
      </c>
      <c r="J117" s="30">
        <f>IFERROR(IF('Student Report'!$W107&lt;&gt;"",IF('Student Report'!$W107&gt;=Settings!$B$11,"Mastered",IF('Student Report'!$W107&gt;=Settings!$B$12,"Approaching","Not Yet")),IF('Student Report'!$P107&lt;&gt;"",IF('Student Report'!$P107&gt;=Settings!$B$11,"Mastered",IF('Student Report'!$P107&gt;=Settings!$B$12,"Approaching","Not Yet")),"")),"")</f>
        <v/>
      </c>
      <c r="K117" s="30">
        <f>IFERROR(IF('Student Report'!$X107&lt;&gt;"",IF('Student Report'!$X107&gt;=Settings!$B$11,"Mastered",IF('Student Report'!$X107&gt;=Settings!$B$12,"Approaching","Not Yet")),IF('Student Report'!$Q107&lt;&gt;"",IF('Student Report'!$Q107&gt;=Settings!$B$11,"Mastered",IF('Student Report'!$Q107&gt;=Settings!$B$12,"Approaching","Not Yet")),"")),"")</f>
        <v/>
      </c>
      <c r="L117" s="30">
        <f>IFERROR(IF('Student Report'!$Y107&lt;&gt;"",IF('Student Report'!$Y107&gt;=Settings!$B$11,"Mastered",IF('Student Report'!$Y107&gt;=Settings!$B$12,"Approaching","Not Yet")),IF('Student Report'!$R107&lt;&gt;"",IF('Student Report'!$R107&gt;=Settings!$B$11,"Mastered",IF('Student Report'!$R107&gt;=Settings!$B$12,"Approaching","Not Yet")),"")),"")</f>
        <v/>
      </c>
      <c r="M117" s="30">
        <f>IFERROR(IF('Student Report'!$Z107&lt;&gt;"",IF('Student Report'!$Z107&gt;=Settings!$B$11,"Mastered",IF('Student Report'!$Z107&gt;=Settings!$B$12,"Approaching","Not Yet")),IF('Student Report'!$S107&lt;&gt;"",IF('Student Report'!$S107&gt;=Settings!$B$11,"Mastered",IF('Student Report'!$S107&gt;=Settings!$B$12,"Approaching","Not Yet")),"")),"")</f>
        <v/>
      </c>
      <c r="N117" s="30">
        <f>IFERROR(IF('Student Report'!$AA107&lt;&gt;"",IF('Student Report'!$AA107&gt;=Settings!$B$11,"Mastered",IF('Student Report'!$AA107&gt;=Settings!$B$12,"Approaching","Not Yet")),IF('Student Report'!$T107&lt;&gt;"",IF('Student Report'!$T107&gt;=Settings!$B$11,"Mastered",IF('Student Report'!$T107&gt;=Settings!$B$12,"Approaching","Not Yet")),"")),"")</f>
        <v/>
      </c>
      <c r="O117" s="30">
        <f>IFERROR(IF('Student Report'!$AB107&lt;&gt;"",IF('Student Report'!$AB107&gt;=Settings!$B$11,"Mastered",IF('Student Report'!$AB107&gt;=Settings!$B$12,"Approaching","Not Yet")),IF('Student Report'!$U107&lt;&gt;"",IF('Student Report'!$U107&gt;=Settings!$B$11,"Mastered",IF('Student Report'!$U107&gt;=Settings!$B$12,"Approaching","Not Yet")),"")),"")</f>
        <v/>
      </c>
    </row>
    <row r="118">
      <c r="A118" s="30">
        <f>'Student Report'!$A108</f>
        <v/>
      </c>
      <c r="B118" s="56">
        <f>'Student Report'!$B108</f>
        <v/>
      </c>
      <c r="C118" s="30">
        <f>'Student Report'!$C108</f>
        <v/>
      </c>
      <c r="D118" s="30">
        <f>'Student Report'!$G108</f>
        <v/>
      </c>
      <c r="E118" s="30">
        <f>'Student Report'!$I108</f>
        <v/>
      </c>
      <c r="F118" s="57">
        <f>'Student Report'!$AJ108</f>
        <v/>
      </c>
      <c r="G118" s="30">
        <f>'Student Report'!$AK108</f>
        <v/>
      </c>
      <c r="H118" s="30">
        <f>IF($B118="","",COUNTIF(I118:O118,"Not Yet"))</f>
        <v/>
      </c>
      <c r="I118" s="30">
        <f>IFERROR(IF('Student Report'!$V108&lt;&gt;"",IF('Student Report'!$V108&gt;=Settings!$B$11,"Mastered",IF('Student Report'!$V108&gt;=Settings!$B$12,"Approaching","Not Yet")),IF('Student Report'!$O108&lt;&gt;"",IF('Student Report'!$O108&gt;=Settings!$B$11,"Mastered",IF('Student Report'!$O108&gt;=Settings!$B$12,"Approaching","Not Yet")),"")),"")</f>
        <v/>
      </c>
      <c r="J118" s="30">
        <f>IFERROR(IF('Student Report'!$W108&lt;&gt;"",IF('Student Report'!$W108&gt;=Settings!$B$11,"Mastered",IF('Student Report'!$W108&gt;=Settings!$B$12,"Approaching","Not Yet")),IF('Student Report'!$P108&lt;&gt;"",IF('Student Report'!$P108&gt;=Settings!$B$11,"Mastered",IF('Student Report'!$P108&gt;=Settings!$B$12,"Approaching","Not Yet")),"")),"")</f>
        <v/>
      </c>
      <c r="K118" s="30">
        <f>IFERROR(IF('Student Report'!$X108&lt;&gt;"",IF('Student Report'!$X108&gt;=Settings!$B$11,"Mastered",IF('Student Report'!$X108&gt;=Settings!$B$12,"Approaching","Not Yet")),IF('Student Report'!$Q108&lt;&gt;"",IF('Student Report'!$Q108&gt;=Settings!$B$11,"Mastered",IF('Student Report'!$Q108&gt;=Settings!$B$12,"Approaching","Not Yet")),"")),"")</f>
        <v/>
      </c>
      <c r="L118" s="30">
        <f>IFERROR(IF('Student Report'!$Y108&lt;&gt;"",IF('Student Report'!$Y108&gt;=Settings!$B$11,"Mastered",IF('Student Report'!$Y108&gt;=Settings!$B$12,"Approaching","Not Yet")),IF('Student Report'!$R108&lt;&gt;"",IF('Student Report'!$R108&gt;=Settings!$B$11,"Mastered",IF('Student Report'!$R108&gt;=Settings!$B$12,"Approaching","Not Yet")),"")),"")</f>
        <v/>
      </c>
      <c r="M118" s="30">
        <f>IFERROR(IF('Student Report'!$Z108&lt;&gt;"",IF('Student Report'!$Z108&gt;=Settings!$B$11,"Mastered",IF('Student Report'!$Z108&gt;=Settings!$B$12,"Approaching","Not Yet")),IF('Student Report'!$S108&lt;&gt;"",IF('Student Report'!$S108&gt;=Settings!$B$11,"Mastered",IF('Student Report'!$S108&gt;=Settings!$B$12,"Approaching","Not Yet")),"")),"")</f>
        <v/>
      </c>
      <c r="N118" s="30">
        <f>IFERROR(IF('Student Report'!$AA108&lt;&gt;"",IF('Student Report'!$AA108&gt;=Settings!$B$11,"Mastered",IF('Student Report'!$AA108&gt;=Settings!$B$12,"Approaching","Not Yet")),IF('Student Report'!$T108&lt;&gt;"",IF('Student Report'!$T108&gt;=Settings!$B$11,"Mastered",IF('Student Report'!$T108&gt;=Settings!$B$12,"Approaching","Not Yet")),"")),"")</f>
        <v/>
      </c>
      <c r="O118" s="30">
        <f>IFERROR(IF('Student Report'!$AB108&lt;&gt;"",IF('Student Report'!$AB108&gt;=Settings!$B$11,"Mastered",IF('Student Report'!$AB108&gt;=Settings!$B$12,"Approaching","Not Yet")),IF('Student Report'!$U108&lt;&gt;"",IF('Student Report'!$U108&gt;=Settings!$B$11,"Mastered",IF('Student Report'!$U108&gt;=Settings!$B$12,"Approaching","Not Yet")),"")),"")</f>
        <v/>
      </c>
    </row>
    <row r="119">
      <c r="A119" s="30">
        <f>'Student Report'!$A109</f>
        <v/>
      </c>
      <c r="B119" s="56">
        <f>'Student Report'!$B109</f>
        <v/>
      </c>
      <c r="C119" s="30">
        <f>'Student Report'!$C109</f>
        <v/>
      </c>
      <c r="D119" s="30">
        <f>'Student Report'!$G109</f>
        <v/>
      </c>
      <c r="E119" s="30">
        <f>'Student Report'!$I109</f>
        <v/>
      </c>
      <c r="F119" s="57">
        <f>'Student Report'!$AJ109</f>
        <v/>
      </c>
      <c r="G119" s="30">
        <f>'Student Report'!$AK109</f>
        <v/>
      </c>
      <c r="H119" s="30">
        <f>IF($B119="","",COUNTIF(I119:O119,"Not Yet"))</f>
        <v/>
      </c>
      <c r="I119" s="30">
        <f>IFERROR(IF('Student Report'!$V109&lt;&gt;"",IF('Student Report'!$V109&gt;=Settings!$B$11,"Mastered",IF('Student Report'!$V109&gt;=Settings!$B$12,"Approaching","Not Yet")),IF('Student Report'!$O109&lt;&gt;"",IF('Student Report'!$O109&gt;=Settings!$B$11,"Mastered",IF('Student Report'!$O109&gt;=Settings!$B$12,"Approaching","Not Yet")),"")),"")</f>
        <v/>
      </c>
      <c r="J119" s="30">
        <f>IFERROR(IF('Student Report'!$W109&lt;&gt;"",IF('Student Report'!$W109&gt;=Settings!$B$11,"Mastered",IF('Student Report'!$W109&gt;=Settings!$B$12,"Approaching","Not Yet")),IF('Student Report'!$P109&lt;&gt;"",IF('Student Report'!$P109&gt;=Settings!$B$11,"Mastered",IF('Student Report'!$P109&gt;=Settings!$B$12,"Approaching","Not Yet")),"")),"")</f>
        <v/>
      </c>
      <c r="K119" s="30">
        <f>IFERROR(IF('Student Report'!$X109&lt;&gt;"",IF('Student Report'!$X109&gt;=Settings!$B$11,"Mastered",IF('Student Report'!$X109&gt;=Settings!$B$12,"Approaching","Not Yet")),IF('Student Report'!$Q109&lt;&gt;"",IF('Student Report'!$Q109&gt;=Settings!$B$11,"Mastered",IF('Student Report'!$Q109&gt;=Settings!$B$12,"Approaching","Not Yet")),"")),"")</f>
        <v/>
      </c>
      <c r="L119" s="30">
        <f>IFERROR(IF('Student Report'!$Y109&lt;&gt;"",IF('Student Report'!$Y109&gt;=Settings!$B$11,"Mastered",IF('Student Report'!$Y109&gt;=Settings!$B$12,"Approaching","Not Yet")),IF('Student Report'!$R109&lt;&gt;"",IF('Student Report'!$R109&gt;=Settings!$B$11,"Mastered",IF('Student Report'!$R109&gt;=Settings!$B$12,"Approaching","Not Yet")),"")),"")</f>
        <v/>
      </c>
      <c r="M119" s="30">
        <f>IFERROR(IF('Student Report'!$Z109&lt;&gt;"",IF('Student Report'!$Z109&gt;=Settings!$B$11,"Mastered",IF('Student Report'!$Z109&gt;=Settings!$B$12,"Approaching","Not Yet")),IF('Student Report'!$S109&lt;&gt;"",IF('Student Report'!$S109&gt;=Settings!$B$11,"Mastered",IF('Student Report'!$S109&gt;=Settings!$B$12,"Approaching","Not Yet")),"")),"")</f>
        <v/>
      </c>
      <c r="N119" s="30">
        <f>IFERROR(IF('Student Report'!$AA109&lt;&gt;"",IF('Student Report'!$AA109&gt;=Settings!$B$11,"Mastered",IF('Student Report'!$AA109&gt;=Settings!$B$12,"Approaching","Not Yet")),IF('Student Report'!$T109&lt;&gt;"",IF('Student Report'!$T109&gt;=Settings!$B$11,"Mastered",IF('Student Report'!$T109&gt;=Settings!$B$12,"Approaching","Not Yet")),"")),"")</f>
        <v/>
      </c>
      <c r="O119" s="30">
        <f>IFERROR(IF('Student Report'!$AB109&lt;&gt;"",IF('Student Report'!$AB109&gt;=Settings!$B$11,"Mastered",IF('Student Report'!$AB109&gt;=Settings!$B$12,"Approaching","Not Yet")),IF('Student Report'!$U109&lt;&gt;"",IF('Student Report'!$U109&gt;=Settings!$B$11,"Mastered",IF('Student Report'!$U109&gt;=Settings!$B$12,"Approaching","Not Yet")),"")),"")</f>
        <v/>
      </c>
    </row>
    <row r="120">
      <c r="A120" s="30">
        <f>'Student Report'!$A110</f>
        <v/>
      </c>
      <c r="B120" s="56">
        <f>'Student Report'!$B110</f>
        <v/>
      </c>
      <c r="C120" s="30">
        <f>'Student Report'!$C110</f>
        <v/>
      </c>
      <c r="D120" s="30">
        <f>'Student Report'!$G110</f>
        <v/>
      </c>
      <c r="E120" s="30">
        <f>'Student Report'!$I110</f>
        <v/>
      </c>
      <c r="F120" s="57">
        <f>'Student Report'!$AJ110</f>
        <v/>
      </c>
      <c r="G120" s="30">
        <f>'Student Report'!$AK110</f>
        <v/>
      </c>
      <c r="H120" s="30">
        <f>IF($B120="","",COUNTIF(I120:O120,"Not Yet"))</f>
        <v/>
      </c>
      <c r="I120" s="30">
        <f>IFERROR(IF('Student Report'!$V110&lt;&gt;"",IF('Student Report'!$V110&gt;=Settings!$B$11,"Mastered",IF('Student Report'!$V110&gt;=Settings!$B$12,"Approaching","Not Yet")),IF('Student Report'!$O110&lt;&gt;"",IF('Student Report'!$O110&gt;=Settings!$B$11,"Mastered",IF('Student Report'!$O110&gt;=Settings!$B$12,"Approaching","Not Yet")),"")),"")</f>
        <v/>
      </c>
      <c r="J120" s="30">
        <f>IFERROR(IF('Student Report'!$W110&lt;&gt;"",IF('Student Report'!$W110&gt;=Settings!$B$11,"Mastered",IF('Student Report'!$W110&gt;=Settings!$B$12,"Approaching","Not Yet")),IF('Student Report'!$P110&lt;&gt;"",IF('Student Report'!$P110&gt;=Settings!$B$11,"Mastered",IF('Student Report'!$P110&gt;=Settings!$B$12,"Approaching","Not Yet")),"")),"")</f>
        <v/>
      </c>
      <c r="K120" s="30">
        <f>IFERROR(IF('Student Report'!$X110&lt;&gt;"",IF('Student Report'!$X110&gt;=Settings!$B$11,"Mastered",IF('Student Report'!$X110&gt;=Settings!$B$12,"Approaching","Not Yet")),IF('Student Report'!$Q110&lt;&gt;"",IF('Student Report'!$Q110&gt;=Settings!$B$11,"Mastered",IF('Student Report'!$Q110&gt;=Settings!$B$12,"Approaching","Not Yet")),"")),"")</f>
        <v/>
      </c>
      <c r="L120" s="30">
        <f>IFERROR(IF('Student Report'!$Y110&lt;&gt;"",IF('Student Report'!$Y110&gt;=Settings!$B$11,"Mastered",IF('Student Report'!$Y110&gt;=Settings!$B$12,"Approaching","Not Yet")),IF('Student Report'!$R110&lt;&gt;"",IF('Student Report'!$R110&gt;=Settings!$B$11,"Mastered",IF('Student Report'!$R110&gt;=Settings!$B$12,"Approaching","Not Yet")),"")),"")</f>
        <v/>
      </c>
      <c r="M120" s="30">
        <f>IFERROR(IF('Student Report'!$Z110&lt;&gt;"",IF('Student Report'!$Z110&gt;=Settings!$B$11,"Mastered",IF('Student Report'!$Z110&gt;=Settings!$B$12,"Approaching","Not Yet")),IF('Student Report'!$S110&lt;&gt;"",IF('Student Report'!$S110&gt;=Settings!$B$11,"Mastered",IF('Student Report'!$S110&gt;=Settings!$B$12,"Approaching","Not Yet")),"")),"")</f>
        <v/>
      </c>
      <c r="N120" s="30">
        <f>IFERROR(IF('Student Report'!$AA110&lt;&gt;"",IF('Student Report'!$AA110&gt;=Settings!$B$11,"Mastered",IF('Student Report'!$AA110&gt;=Settings!$B$12,"Approaching","Not Yet")),IF('Student Report'!$T110&lt;&gt;"",IF('Student Report'!$T110&gt;=Settings!$B$11,"Mastered",IF('Student Report'!$T110&gt;=Settings!$B$12,"Approaching","Not Yet")),"")),"")</f>
        <v/>
      </c>
      <c r="O120" s="30">
        <f>IFERROR(IF('Student Report'!$AB110&lt;&gt;"",IF('Student Report'!$AB110&gt;=Settings!$B$11,"Mastered",IF('Student Report'!$AB110&gt;=Settings!$B$12,"Approaching","Not Yet")),IF('Student Report'!$U110&lt;&gt;"",IF('Student Report'!$U110&gt;=Settings!$B$11,"Mastered",IF('Student Report'!$U110&gt;=Settings!$B$12,"Approaching","Not Yet")),"")),"")</f>
        <v/>
      </c>
    </row>
    <row r="121">
      <c r="A121" s="30">
        <f>'Student Report'!$A111</f>
        <v/>
      </c>
      <c r="B121" s="56">
        <f>'Student Report'!$B111</f>
        <v/>
      </c>
      <c r="C121" s="30">
        <f>'Student Report'!$C111</f>
        <v/>
      </c>
      <c r="D121" s="30">
        <f>'Student Report'!$G111</f>
        <v/>
      </c>
      <c r="E121" s="30">
        <f>'Student Report'!$I111</f>
        <v/>
      </c>
      <c r="F121" s="57">
        <f>'Student Report'!$AJ111</f>
        <v/>
      </c>
      <c r="G121" s="30">
        <f>'Student Report'!$AK111</f>
        <v/>
      </c>
      <c r="H121" s="30">
        <f>IF($B121="","",COUNTIF(I121:O121,"Not Yet"))</f>
        <v/>
      </c>
      <c r="I121" s="30">
        <f>IFERROR(IF('Student Report'!$V111&lt;&gt;"",IF('Student Report'!$V111&gt;=Settings!$B$11,"Mastered",IF('Student Report'!$V111&gt;=Settings!$B$12,"Approaching","Not Yet")),IF('Student Report'!$O111&lt;&gt;"",IF('Student Report'!$O111&gt;=Settings!$B$11,"Mastered",IF('Student Report'!$O111&gt;=Settings!$B$12,"Approaching","Not Yet")),"")),"")</f>
        <v/>
      </c>
      <c r="J121" s="30">
        <f>IFERROR(IF('Student Report'!$W111&lt;&gt;"",IF('Student Report'!$W111&gt;=Settings!$B$11,"Mastered",IF('Student Report'!$W111&gt;=Settings!$B$12,"Approaching","Not Yet")),IF('Student Report'!$P111&lt;&gt;"",IF('Student Report'!$P111&gt;=Settings!$B$11,"Mastered",IF('Student Report'!$P111&gt;=Settings!$B$12,"Approaching","Not Yet")),"")),"")</f>
        <v/>
      </c>
      <c r="K121" s="30">
        <f>IFERROR(IF('Student Report'!$X111&lt;&gt;"",IF('Student Report'!$X111&gt;=Settings!$B$11,"Mastered",IF('Student Report'!$X111&gt;=Settings!$B$12,"Approaching","Not Yet")),IF('Student Report'!$Q111&lt;&gt;"",IF('Student Report'!$Q111&gt;=Settings!$B$11,"Mastered",IF('Student Report'!$Q111&gt;=Settings!$B$12,"Approaching","Not Yet")),"")),"")</f>
        <v/>
      </c>
      <c r="L121" s="30">
        <f>IFERROR(IF('Student Report'!$Y111&lt;&gt;"",IF('Student Report'!$Y111&gt;=Settings!$B$11,"Mastered",IF('Student Report'!$Y111&gt;=Settings!$B$12,"Approaching","Not Yet")),IF('Student Report'!$R111&lt;&gt;"",IF('Student Report'!$R111&gt;=Settings!$B$11,"Mastered",IF('Student Report'!$R111&gt;=Settings!$B$12,"Approaching","Not Yet")),"")),"")</f>
        <v/>
      </c>
      <c r="M121" s="30">
        <f>IFERROR(IF('Student Report'!$Z111&lt;&gt;"",IF('Student Report'!$Z111&gt;=Settings!$B$11,"Mastered",IF('Student Report'!$Z111&gt;=Settings!$B$12,"Approaching","Not Yet")),IF('Student Report'!$S111&lt;&gt;"",IF('Student Report'!$S111&gt;=Settings!$B$11,"Mastered",IF('Student Report'!$S111&gt;=Settings!$B$12,"Approaching","Not Yet")),"")),"")</f>
        <v/>
      </c>
      <c r="N121" s="30">
        <f>IFERROR(IF('Student Report'!$AA111&lt;&gt;"",IF('Student Report'!$AA111&gt;=Settings!$B$11,"Mastered",IF('Student Report'!$AA111&gt;=Settings!$B$12,"Approaching","Not Yet")),IF('Student Report'!$T111&lt;&gt;"",IF('Student Report'!$T111&gt;=Settings!$B$11,"Mastered",IF('Student Report'!$T111&gt;=Settings!$B$12,"Approaching","Not Yet")),"")),"")</f>
        <v/>
      </c>
      <c r="O121" s="30">
        <f>IFERROR(IF('Student Report'!$AB111&lt;&gt;"",IF('Student Report'!$AB111&gt;=Settings!$B$11,"Mastered",IF('Student Report'!$AB111&gt;=Settings!$B$12,"Approaching","Not Yet")),IF('Student Report'!$U111&lt;&gt;"",IF('Student Report'!$U111&gt;=Settings!$B$11,"Mastered",IF('Student Report'!$U111&gt;=Settings!$B$12,"Approaching","Not Yet")),"")),"")</f>
        <v/>
      </c>
    </row>
    <row r="122">
      <c r="A122" s="30">
        <f>'Student Report'!$A112</f>
        <v/>
      </c>
      <c r="B122" s="56">
        <f>'Student Report'!$B112</f>
        <v/>
      </c>
      <c r="C122" s="30">
        <f>'Student Report'!$C112</f>
        <v/>
      </c>
      <c r="D122" s="30">
        <f>'Student Report'!$G112</f>
        <v/>
      </c>
      <c r="E122" s="30">
        <f>'Student Report'!$I112</f>
        <v/>
      </c>
      <c r="F122" s="57">
        <f>'Student Report'!$AJ112</f>
        <v/>
      </c>
      <c r="G122" s="30">
        <f>'Student Report'!$AK112</f>
        <v/>
      </c>
      <c r="H122" s="30">
        <f>IF($B122="","",COUNTIF(I122:O122,"Not Yet"))</f>
        <v/>
      </c>
      <c r="I122" s="30">
        <f>IFERROR(IF('Student Report'!$V112&lt;&gt;"",IF('Student Report'!$V112&gt;=Settings!$B$11,"Mastered",IF('Student Report'!$V112&gt;=Settings!$B$12,"Approaching","Not Yet")),IF('Student Report'!$O112&lt;&gt;"",IF('Student Report'!$O112&gt;=Settings!$B$11,"Mastered",IF('Student Report'!$O112&gt;=Settings!$B$12,"Approaching","Not Yet")),"")),"")</f>
        <v/>
      </c>
      <c r="J122" s="30">
        <f>IFERROR(IF('Student Report'!$W112&lt;&gt;"",IF('Student Report'!$W112&gt;=Settings!$B$11,"Mastered",IF('Student Report'!$W112&gt;=Settings!$B$12,"Approaching","Not Yet")),IF('Student Report'!$P112&lt;&gt;"",IF('Student Report'!$P112&gt;=Settings!$B$11,"Mastered",IF('Student Report'!$P112&gt;=Settings!$B$12,"Approaching","Not Yet")),"")),"")</f>
        <v/>
      </c>
      <c r="K122" s="30">
        <f>IFERROR(IF('Student Report'!$X112&lt;&gt;"",IF('Student Report'!$X112&gt;=Settings!$B$11,"Mastered",IF('Student Report'!$X112&gt;=Settings!$B$12,"Approaching","Not Yet")),IF('Student Report'!$Q112&lt;&gt;"",IF('Student Report'!$Q112&gt;=Settings!$B$11,"Mastered",IF('Student Report'!$Q112&gt;=Settings!$B$12,"Approaching","Not Yet")),"")),"")</f>
        <v/>
      </c>
      <c r="L122" s="30">
        <f>IFERROR(IF('Student Report'!$Y112&lt;&gt;"",IF('Student Report'!$Y112&gt;=Settings!$B$11,"Mastered",IF('Student Report'!$Y112&gt;=Settings!$B$12,"Approaching","Not Yet")),IF('Student Report'!$R112&lt;&gt;"",IF('Student Report'!$R112&gt;=Settings!$B$11,"Mastered",IF('Student Report'!$R112&gt;=Settings!$B$12,"Approaching","Not Yet")),"")),"")</f>
        <v/>
      </c>
      <c r="M122" s="30">
        <f>IFERROR(IF('Student Report'!$Z112&lt;&gt;"",IF('Student Report'!$Z112&gt;=Settings!$B$11,"Mastered",IF('Student Report'!$Z112&gt;=Settings!$B$12,"Approaching","Not Yet")),IF('Student Report'!$S112&lt;&gt;"",IF('Student Report'!$S112&gt;=Settings!$B$11,"Mastered",IF('Student Report'!$S112&gt;=Settings!$B$12,"Approaching","Not Yet")),"")),"")</f>
        <v/>
      </c>
      <c r="N122" s="30">
        <f>IFERROR(IF('Student Report'!$AA112&lt;&gt;"",IF('Student Report'!$AA112&gt;=Settings!$B$11,"Mastered",IF('Student Report'!$AA112&gt;=Settings!$B$12,"Approaching","Not Yet")),IF('Student Report'!$T112&lt;&gt;"",IF('Student Report'!$T112&gt;=Settings!$B$11,"Mastered",IF('Student Report'!$T112&gt;=Settings!$B$12,"Approaching","Not Yet")),"")),"")</f>
        <v/>
      </c>
      <c r="O122" s="30">
        <f>IFERROR(IF('Student Report'!$AB112&lt;&gt;"",IF('Student Report'!$AB112&gt;=Settings!$B$11,"Mastered",IF('Student Report'!$AB112&gt;=Settings!$B$12,"Approaching","Not Yet")),IF('Student Report'!$U112&lt;&gt;"",IF('Student Report'!$U112&gt;=Settings!$B$11,"Mastered",IF('Student Report'!$U112&gt;=Settings!$B$12,"Approaching","Not Yet")),"")),"")</f>
        <v/>
      </c>
    </row>
    <row r="123">
      <c r="A123" s="30">
        <f>'Student Report'!$A113</f>
        <v/>
      </c>
      <c r="B123" s="56">
        <f>'Student Report'!$B113</f>
        <v/>
      </c>
      <c r="C123" s="30">
        <f>'Student Report'!$C113</f>
        <v/>
      </c>
      <c r="D123" s="30">
        <f>'Student Report'!$G113</f>
        <v/>
      </c>
      <c r="E123" s="30">
        <f>'Student Report'!$I113</f>
        <v/>
      </c>
      <c r="F123" s="57">
        <f>'Student Report'!$AJ113</f>
        <v/>
      </c>
      <c r="G123" s="30">
        <f>'Student Report'!$AK113</f>
        <v/>
      </c>
      <c r="H123" s="30">
        <f>IF($B123="","",COUNTIF(I123:O123,"Not Yet"))</f>
        <v/>
      </c>
      <c r="I123" s="30">
        <f>IFERROR(IF('Student Report'!$V113&lt;&gt;"",IF('Student Report'!$V113&gt;=Settings!$B$11,"Mastered",IF('Student Report'!$V113&gt;=Settings!$B$12,"Approaching","Not Yet")),IF('Student Report'!$O113&lt;&gt;"",IF('Student Report'!$O113&gt;=Settings!$B$11,"Mastered",IF('Student Report'!$O113&gt;=Settings!$B$12,"Approaching","Not Yet")),"")),"")</f>
        <v/>
      </c>
      <c r="J123" s="30">
        <f>IFERROR(IF('Student Report'!$W113&lt;&gt;"",IF('Student Report'!$W113&gt;=Settings!$B$11,"Mastered",IF('Student Report'!$W113&gt;=Settings!$B$12,"Approaching","Not Yet")),IF('Student Report'!$P113&lt;&gt;"",IF('Student Report'!$P113&gt;=Settings!$B$11,"Mastered",IF('Student Report'!$P113&gt;=Settings!$B$12,"Approaching","Not Yet")),"")),"")</f>
        <v/>
      </c>
      <c r="K123" s="30">
        <f>IFERROR(IF('Student Report'!$X113&lt;&gt;"",IF('Student Report'!$X113&gt;=Settings!$B$11,"Mastered",IF('Student Report'!$X113&gt;=Settings!$B$12,"Approaching","Not Yet")),IF('Student Report'!$Q113&lt;&gt;"",IF('Student Report'!$Q113&gt;=Settings!$B$11,"Mastered",IF('Student Report'!$Q113&gt;=Settings!$B$12,"Approaching","Not Yet")),"")),"")</f>
        <v/>
      </c>
      <c r="L123" s="30">
        <f>IFERROR(IF('Student Report'!$Y113&lt;&gt;"",IF('Student Report'!$Y113&gt;=Settings!$B$11,"Mastered",IF('Student Report'!$Y113&gt;=Settings!$B$12,"Approaching","Not Yet")),IF('Student Report'!$R113&lt;&gt;"",IF('Student Report'!$R113&gt;=Settings!$B$11,"Mastered",IF('Student Report'!$R113&gt;=Settings!$B$12,"Approaching","Not Yet")),"")),"")</f>
        <v/>
      </c>
      <c r="M123" s="30">
        <f>IFERROR(IF('Student Report'!$Z113&lt;&gt;"",IF('Student Report'!$Z113&gt;=Settings!$B$11,"Mastered",IF('Student Report'!$Z113&gt;=Settings!$B$12,"Approaching","Not Yet")),IF('Student Report'!$S113&lt;&gt;"",IF('Student Report'!$S113&gt;=Settings!$B$11,"Mastered",IF('Student Report'!$S113&gt;=Settings!$B$12,"Approaching","Not Yet")),"")),"")</f>
        <v/>
      </c>
      <c r="N123" s="30">
        <f>IFERROR(IF('Student Report'!$AA113&lt;&gt;"",IF('Student Report'!$AA113&gt;=Settings!$B$11,"Mastered",IF('Student Report'!$AA113&gt;=Settings!$B$12,"Approaching","Not Yet")),IF('Student Report'!$T113&lt;&gt;"",IF('Student Report'!$T113&gt;=Settings!$B$11,"Mastered",IF('Student Report'!$T113&gt;=Settings!$B$12,"Approaching","Not Yet")),"")),"")</f>
        <v/>
      </c>
      <c r="O123" s="30">
        <f>IFERROR(IF('Student Report'!$AB113&lt;&gt;"",IF('Student Report'!$AB113&gt;=Settings!$B$11,"Mastered",IF('Student Report'!$AB113&gt;=Settings!$B$12,"Approaching","Not Yet")),IF('Student Report'!$U113&lt;&gt;"",IF('Student Report'!$U113&gt;=Settings!$B$11,"Mastered",IF('Student Report'!$U113&gt;=Settings!$B$12,"Approaching","Not Yet")),"")),"")</f>
        <v/>
      </c>
    </row>
    <row r="124">
      <c r="A124" s="30">
        <f>'Student Report'!$A114</f>
        <v/>
      </c>
      <c r="B124" s="56">
        <f>'Student Report'!$B114</f>
        <v/>
      </c>
      <c r="C124" s="30">
        <f>'Student Report'!$C114</f>
        <v/>
      </c>
      <c r="D124" s="30">
        <f>'Student Report'!$G114</f>
        <v/>
      </c>
      <c r="E124" s="30">
        <f>'Student Report'!$I114</f>
        <v/>
      </c>
      <c r="F124" s="57">
        <f>'Student Report'!$AJ114</f>
        <v/>
      </c>
      <c r="G124" s="30">
        <f>'Student Report'!$AK114</f>
        <v/>
      </c>
      <c r="H124" s="30">
        <f>IF($B124="","",COUNTIF(I124:O124,"Not Yet"))</f>
        <v/>
      </c>
      <c r="I124" s="30">
        <f>IFERROR(IF('Student Report'!$V114&lt;&gt;"",IF('Student Report'!$V114&gt;=Settings!$B$11,"Mastered",IF('Student Report'!$V114&gt;=Settings!$B$12,"Approaching","Not Yet")),IF('Student Report'!$O114&lt;&gt;"",IF('Student Report'!$O114&gt;=Settings!$B$11,"Mastered",IF('Student Report'!$O114&gt;=Settings!$B$12,"Approaching","Not Yet")),"")),"")</f>
        <v/>
      </c>
      <c r="J124" s="30">
        <f>IFERROR(IF('Student Report'!$W114&lt;&gt;"",IF('Student Report'!$W114&gt;=Settings!$B$11,"Mastered",IF('Student Report'!$W114&gt;=Settings!$B$12,"Approaching","Not Yet")),IF('Student Report'!$P114&lt;&gt;"",IF('Student Report'!$P114&gt;=Settings!$B$11,"Mastered",IF('Student Report'!$P114&gt;=Settings!$B$12,"Approaching","Not Yet")),"")),"")</f>
        <v/>
      </c>
      <c r="K124" s="30">
        <f>IFERROR(IF('Student Report'!$X114&lt;&gt;"",IF('Student Report'!$X114&gt;=Settings!$B$11,"Mastered",IF('Student Report'!$X114&gt;=Settings!$B$12,"Approaching","Not Yet")),IF('Student Report'!$Q114&lt;&gt;"",IF('Student Report'!$Q114&gt;=Settings!$B$11,"Mastered",IF('Student Report'!$Q114&gt;=Settings!$B$12,"Approaching","Not Yet")),"")),"")</f>
        <v/>
      </c>
      <c r="L124" s="30">
        <f>IFERROR(IF('Student Report'!$Y114&lt;&gt;"",IF('Student Report'!$Y114&gt;=Settings!$B$11,"Mastered",IF('Student Report'!$Y114&gt;=Settings!$B$12,"Approaching","Not Yet")),IF('Student Report'!$R114&lt;&gt;"",IF('Student Report'!$R114&gt;=Settings!$B$11,"Mastered",IF('Student Report'!$R114&gt;=Settings!$B$12,"Approaching","Not Yet")),"")),"")</f>
        <v/>
      </c>
      <c r="M124" s="30">
        <f>IFERROR(IF('Student Report'!$Z114&lt;&gt;"",IF('Student Report'!$Z114&gt;=Settings!$B$11,"Mastered",IF('Student Report'!$Z114&gt;=Settings!$B$12,"Approaching","Not Yet")),IF('Student Report'!$S114&lt;&gt;"",IF('Student Report'!$S114&gt;=Settings!$B$11,"Mastered",IF('Student Report'!$S114&gt;=Settings!$B$12,"Approaching","Not Yet")),"")),"")</f>
        <v/>
      </c>
      <c r="N124" s="30">
        <f>IFERROR(IF('Student Report'!$AA114&lt;&gt;"",IF('Student Report'!$AA114&gt;=Settings!$B$11,"Mastered",IF('Student Report'!$AA114&gt;=Settings!$B$12,"Approaching","Not Yet")),IF('Student Report'!$T114&lt;&gt;"",IF('Student Report'!$T114&gt;=Settings!$B$11,"Mastered",IF('Student Report'!$T114&gt;=Settings!$B$12,"Approaching","Not Yet")),"")),"")</f>
        <v/>
      </c>
      <c r="O124" s="30">
        <f>IFERROR(IF('Student Report'!$AB114&lt;&gt;"",IF('Student Report'!$AB114&gt;=Settings!$B$11,"Mastered",IF('Student Report'!$AB114&gt;=Settings!$B$12,"Approaching","Not Yet")),IF('Student Report'!$U114&lt;&gt;"",IF('Student Report'!$U114&gt;=Settings!$B$11,"Mastered",IF('Student Report'!$U114&gt;=Settings!$B$12,"Approaching","Not Yet")),"")),"")</f>
        <v/>
      </c>
    </row>
    <row r="125">
      <c r="A125" s="30">
        <f>'Student Report'!$A115</f>
        <v/>
      </c>
      <c r="B125" s="56">
        <f>'Student Report'!$B115</f>
        <v/>
      </c>
      <c r="C125" s="30">
        <f>'Student Report'!$C115</f>
        <v/>
      </c>
      <c r="D125" s="30">
        <f>'Student Report'!$G115</f>
        <v/>
      </c>
      <c r="E125" s="30">
        <f>'Student Report'!$I115</f>
        <v/>
      </c>
      <c r="F125" s="57">
        <f>'Student Report'!$AJ115</f>
        <v/>
      </c>
      <c r="G125" s="30">
        <f>'Student Report'!$AK115</f>
        <v/>
      </c>
      <c r="H125" s="30">
        <f>IF($B125="","",COUNTIF(I125:O125,"Not Yet"))</f>
        <v/>
      </c>
      <c r="I125" s="30">
        <f>IFERROR(IF('Student Report'!$V115&lt;&gt;"",IF('Student Report'!$V115&gt;=Settings!$B$11,"Mastered",IF('Student Report'!$V115&gt;=Settings!$B$12,"Approaching","Not Yet")),IF('Student Report'!$O115&lt;&gt;"",IF('Student Report'!$O115&gt;=Settings!$B$11,"Mastered",IF('Student Report'!$O115&gt;=Settings!$B$12,"Approaching","Not Yet")),"")),"")</f>
        <v/>
      </c>
      <c r="J125" s="30">
        <f>IFERROR(IF('Student Report'!$W115&lt;&gt;"",IF('Student Report'!$W115&gt;=Settings!$B$11,"Mastered",IF('Student Report'!$W115&gt;=Settings!$B$12,"Approaching","Not Yet")),IF('Student Report'!$P115&lt;&gt;"",IF('Student Report'!$P115&gt;=Settings!$B$11,"Mastered",IF('Student Report'!$P115&gt;=Settings!$B$12,"Approaching","Not Yet")),"")),"")</f>
        <v/>
      </c>
      <c r="K125" s="30">
        <f>IFERROR(IF('Student Report'!$X115&lt;&gt;"",IF('Student Report'!$X115&gt;=Settings!$B$11,"Mastered",IF('Student Report'!$X115&gt;=Settings!$B$12,"Approaching","Not Yet")),IF('Student Report'!$Q115&lt;&gt;"",IF('Student Report'!$Q115&gt;=Settings!$B$11,"Mastered",IF('Student Report'!$Q115&gt;=Settings!$B$12,"Approaching","Not Yet")),"")),"")</f>
        <v/>
      </c>
      <c r="L125" s="30">
        <f>IFERROR(IF('Student Report'!$Y115&lt;&gt;"",IF('Student Report'!$Y115&gt;=Settings!$B$11,"Mastered",IF('Student Report'!$Y115&gt;=Settings!$B$12,"Approaching","Not Yet")),IF('Student Report'!$R115&lt;&gt;"",IF('Student Report'!$R115&gt;=Settings!$B$11,"Mastered",IF('Student Report'!$R115&gt;=Settings!$B$12,"Approaching","Not Yet")),"")),"")</f>
        <v/>
      </c>
      <c r="M125" s="30">
        <f>IFERROR(IF('Student Report'!$Z115&lt;&gt;"",IF('Student Report'!$Z115&gt;=Settings!$B$11,"Mastered",IF('Student Report'!$Z115&gt;=Settings!$B$12,"Approaching","Not Yet")),IF('Student Report'!$S115&lt;&gt;"",IF('Student Report'!$S115&gt;=Settings!$B$11,"Mastered",IF('Student Report'!$S115&gt;=Settings!$B$12,"Approaching","Not Yet")),"")),"")</f>
        <v/>
      </c>
      <c r="N125" s="30">
        <f>IFERROR(IF('Student Report'!$AA115&lt;&gt;"",IF('Student Report'!$AA115&gt;=Settings!$B$11,"Mastered",IF('Student Report'!$AA115&gt;=Settings!$B$12,"Approaching","Not Yet")),IF('Student Report'!$T115&lt;&gt;"",IF('Student Report'!$T115&gt;=Settings!$B$11,"Mastered",IF('Student Report'!$T115&gt;=Settings!$B$12,"Approaching","Not Yet")),"")),"")</f>
        <v/>
      </c>
      <c r="O125" s="30">
        <f>IFERROR(IF('Student Report'!$AB115&lt;&gt;"",IF('Student Report'!$AB115&gt;=Settings!$B$11,"Mastered",IF('Student Report'!$AB115&gt;=Settings!$B$12,"Approaching","Not Yet")),IF('Student Report'!$U115&lt;&gt;"",IF('Student Report'!$U115&gt;=Settings!$B$11,"Mastered",IF('Student Report'!$U115&gt;=Settings!$B$12,"Approaching","Not Yet")),"")),"")</f>
        <v/>
      </c>
    </row>
    <row r="126">
      <c r="A126" s="30">
        <f>'Student Report'!$A116</f>
        <v/>
      </c>
      <c r="B126" s="56">
        <f>'Student Report'!$B116</f>
        <v/>
      </c>
      <c r="C126" s="30">
        <f>'Student Report'!$C116</f>
        <v/>
      </c>
      <c r="D126" s="30">
        <f>'Student Report'!$G116</f>
        <v/>
      </c>
      <c r="E126" s="30">
        <f>'Student Report'!$I116</f>
        <v/>
      </c>
      <c r="F126" s="57">
        <f>'Student Report'!$AJ116</f>
        <v/>
      </c>
      <c r="G126" s="30">
        <f>'Student Report'!$AK116</f>
        <v/>
      </c>
      <c r="H126" s="30">
        <f>IF($B126="","",COUNTIF(I126:O126,"Not Yet"))</f>
        <v/>
      </c>
      <c r="I126" s="30">
        <f>IFERROR(IF('Student Report'!$V116&lt;&gt;"",IF('Student Report'!$V116&gt;=Settings!$B$11,"Mastered",IF('Student Report'!$V116&gt;=Settings!$B$12,"Approaching","Not Yet")),IF('Student Report'!$O116&lt;&gt;"",IF('Student Report'!$O116&gt;=Settings!$B$11,"Mastered",IF('Student Report'!$O116&gt;=Settings!$B$12,"Approaching","Not Yet")),"")),"")</f>
        <v/>
      </c>
      <c r="J126" s="30">
        <f>IFERROR(IF('Student Report'!$W116&lt;&gt;"",IF('Student Report'!$W116&gt;=Settings!$B$11,"Mastered",IF('Student Report'!$W116&gt;=Settings!$B$12,"Approaching","Not Yet")),IF('Student Report'!$P116&lt;&gt;"",IF('Student Report'!$P116&gt;=Settings!$B$11,"Mastered",IF('Student Report'!$P116&gt;=Settings!$B$12,"Approaching","Not Yet")),"")),"")</f>
        <v/>
      </c>
      <c r="K126" s="30">
        <f>IFERROR(IF('Student Report'!$X116&lt;&gt;"",IF('Student Report'!$X116&gt;=Settings!$B$11,"Mastered",IF('Student Report'!$X116&gt;=Settings!$B$12,"Approaching","Not Yet")),IF('Student Report'!$Q116&lt;&gt;"",IF('Student Report'!$Q116&gt;=Settings!$B$11,"Mastered",IF('Student Report'!$Q116&gt;=Settings!$B$12,"Approaching","Not Yet")),"")),"")</f>
        <v/>
      </c>
      <c r="L126" s="30">
        <f>IFERROR(IF('Student Report'!$Y116&lt;&gt;"",IF('Student Report'!$Y116&gt;=Settings!$B$11,"Mastered",IF('Student Report'!$Y116&gt;=Settings!$B$12,"Approaching","Not Yet")),IF('Student Report'!$R116&lt;&gt;"",IF('Student Report'!$R116&gt;=Settings!$B$11,"Mastered",IF('Student Report'!$R116&gt;=Settings!$B$12,"Approaching","Not Yet")),"")),"")</f>
        <v/>
      </c>
      <c r="M126" s="30">
        <f>IFERROR(IF('Student Report'!$Z116&lt;&gt;"",IF('Student Report'!$Z116&gt;=Settings!$B$11,"Mastered",IF('Student Report'!$Z116&gt;=Settings!$B$12,"Approaching","Not Yet")),IF('Student Report'!$S116&lt;&gt;"",IF('Student Report'!$S116&gt;=Settings!$B$11,"Mastered",IF('Student Report'!$S116&gt;=Settings!$B$12,"Approaching","Not Yet")),"")),"")</f>
        <v/>
      </c>
      <c r="N126" s="30">
        <f>IFERROR(IF('Student Report'!$AA116&lt;&gt;"",IF('Student Report'!$AA116&gt;=Settings!$B$11,"Mastered",IF('Student Report'!$AA116&gt;=Settings!$B$12,"Approaching","Not Yet")),IF('Student Report'!$T116&lt;&gt;"",IF('Student Report'!$T116&gt;=Settings!$B$11,"Mastered",IF('Student Report'!$T116&gt;=Settings!$B$12,"Approaching","Not Yet")),"")),"")</f>
        <v/>
      </c>
      <c r="O126" s="30">
        <f>IFERROR(IF('Student Report'!$AB116&lt;&gt;"",IF('Student Report'!$AB116&gt;=Settings!$B$11,"Mastered",IF('Student Report'!$AB116&gt;=Settings!$B$12,"Approaching","Not Yet")),IF('Student Report'!$U116&lt;&gt;"",IF('Student Report'!$U116&gt;=Settings!$B$11,"Mastered",IF('Student Report'!$U116&gt;=Settings!$B$12,"Approaching","Not Yet")),"")),"")</f>
        <v/>
      </c>
    </row>
    <row r="127">
      <c r="A127" s="30">
        <f>'Student Report'!$A117</f>
        <v/>
      </c>
      <c r="B127" s="56">
        <f>'Student Report'!$B117</f>
        <v/>
      </c>
      <c r="C127" s="30">
        <f>'Student Report'!$C117</f>
        <v/>
      </c>
      <c r="D127" s="30">
        <f>'Student Report'!$G117</f>
        <v/>
      </c>
      <c r="E127" s="30">
        <f>'Student Report'!$I117</f>
        <v/>
      </c>
      <c r="F127" s="57">
        <f>'Student Report'!$AJ117</f>
        <v/>
      </c>
      <c r="G127" s="30">
        <f>'Student Report'!$AK117</f>
        <v/>
      </c>
      <c r="H127" s="30">
        <f>IF($B127="","",COUNTIF(I127:O127,"Not Yet"))</f>
        <v/>
      </c>
      <c r="I127" s="30">
        <f>IFERROR(IF('Student Report'!$V117&lt;&gt;"",IF('Student Report'!$V117&gt;=Settings!$B$11,"Mastered",IF('Student Report'!$V117&gt;=Settings!$B$12,"Approaching","Not Yet")),IF('Student Report'!$O117&lt;&gt;"",IF('Student Report'!$O117&gt;=Settings!$B$11,"Mastered",IF('Student Report'!$O117&gt;=Settings!$B$12,"Approaching","Not Yet")),"")),"")</f>
        <v/>
      </c>
      <c r="J127" s="30">
        <f>IFERROR(IF('Student Report'!$W117&lt;&gt;"",IF('Student Report'!$W117&gt;=Settings!$B$11,"Mastered",IF('Student Report'!$W117&gt;=Settings!$B$12,"Approaching","Not Yet")),IF('Student Report'!$P117&lt;&gt;"",IF('Student Report'!$P117&gt;=Settings!$B$11,"Mastered",IF('Student Report'!$P117&gt;=Settings!$B$12,"Approaching","Not Yet")),"")),"")</f>
        <v/>
      </c>
      <c r="K127" s="30">
        <f>IFERROR(IF('Student Report'!$X117&lt;&gt;"",IF('Student Report'!$X117&gt;=Settings!$B$11,"Mastered",IF('Student Report'!$X117&gt;=Settings!$B$12,"Approaching","Not Yet")),IF('Student Report'!$Q117&lt;&gt;"",IF('Student Report'!$Q117&gt;=Settings!$B$11,"Mastered",IF('Student Report'!$Q117&gt;=Settings!$B$12,"Approaching","Not Yet")),"")),"")</f>
        <v/>
      </c>
      <c r="L127" s="30">
        <f>IFERROR(IF('Student Report'!$Y117&lt;&gt;"",IF('Student Report'!$Y117&gt;=Settings!$B$11,"Mastered",IF('Student Report'!$Y117&gt;=Settings!$B$12,"Approaching","Not Yet")),IF('Student Report'!$R117&lt;&gt;"",IF('Student Report'!$R117&gt;=Settings!$B$11,"Mastered",IF('Student Report'!$R117&gt;=Settings!$B$12,"Approaching","Not Yet")),"")),"")</f>
        <v/>
      </c>
      <c r="M127" s="30">
        <f>IFERROR(IF('Student Report'!$Z117&lt;&gt;"",IF('Student Report'!$Z117&gt;=Settings!$B$11,"Mastered",IF('Student Report'!$Z117&gt;=Settings!$B$12,"Approaching","Not Yet")),IF('Student Report'!$S117&lt;&gt;"",IF('Student Report'!$S117&gt;=Settings!$B$11,"Mastered",IF('Student Report'!$S117&gt;=Settings!$B$12,"Approaching","Not Yet")),"")),"")</f>
        <v/>
      </c>
      <c r="N127" s="30">
        <f>IFERROR(IF('Student Report'!$AA117&lt;&gt;"",IF('Student Report'!$AA117&gt;=Settings!$B$11,"Mastered",IF('Student Report'!$AA117&gt;=Settings!$B$12,"Approaching","Not Yet")),IF('Student Report'!$T117&lt;&gt;"",IF('Student Report'!$T117&gt;=Settings!$B$11,"Mastered",IF('Student Report'!$T117&gt;=Settings!$B$12,"Approaching","Not Yet")),"")),"")</f>
        <v/>
      </c>
      <c r="O127" s="30">
        <f>IFERROR(IF('Student Report'!$AB117&lt;&gt;"",IF('Student Report'!$AB117&gt;=Settings!$B$11,"Mastered",IF('Student Report'!$AB117&gt;=Settings!$B$12,"Approaching","Not Yet")),IF('Student Report'!$U117&lt;&gt;"",IF('Student Report'!$U117&gt;=Settings!$B$11,"Mastered",IF('Student Report'!$U117&gt;=Settings!$B$12,"Approaching","Not Yet")),"")),"")</f>
        <v/>
      </c>
    </row>
    <row r="128">
      <c r="A128" s="30">
        <f>'Student Report'!$A118</f>
        <v/>
      </c>
      <c r="B128" s="56">
        <f>'Student Report'!$B118</f>
        <v/>
      </c>
      <c r="C128" s="30">
        <f>'Student Report'!$C118</f>
        <v/>
      </c>
      <c r="D128" s="30">
        <f>'Student Report'!$G118</f>
        <v/>
      </c>
      <c r="E128" s="30">
        <f>'Student Report'!$I118</f>
        <v/>
      </c>
      <c r="F128" s="57">
        <f>'Student Report'!$AJ118</f>
        <v/>
      </c>
      <c r="G128" s="30">
        <f>'Student Report'!$AK118</f>
        <v/>
      </c>
      <c r="H128" s="30">
        <f>IF($B128="","",COUNTIF(I128:O128,"Not Yet"))</f>
        <v/>
      </c>
      <c r="I128" s="30">
        <f>IFERROR(IF('Student Report'!$V118&lt;&gt;"",IF('Student Report'!$V118&gt;=Settings!$B$11,"Mastered",IF('Student Report'!$V118&gt;=Settings!$B$12,"Approaching","Not Yet")),IF('Student Report'!$O118&lt;&gt;"",IF('Student Report'!$O118&gt;=Settings!$B$11,"Mastered",IF('Student Report'!$O118&gt;=Settings!$B$12,"Approaching","Not Yet")),"")),"")</f>
        <v/>
      </c>
      <c r="J128" s="30">
        <f>IFERROR(IF('Student Report'!$W118&lt;&gt;"",IF('Student Report'!$W118&gt;=Settings!$B$11,"Mastered",IF('Student Report'!$W118&gt;=Settings!$B$12,"Approaching","Not Yet")),IF('Student Report'!$P118&lt;&gt;"",IF('Student Report'!$P118&gt;=Settings!$B$11,"Mastered",IF('Student Report'!$P118&gt;=Settings!$B$12,"Approaching","Not Yet")),"")),"")</f>
        <v/>
      </c>
      <c r="K128" s="30">
        <f>IFERROR(IF('Student Report'!$X118&lt;&gt;"",IF('Student Report'!$X118&gt;=Settings!$B$11,"Mastered",IF('Student Report'!$X118&gt;=Settings!$B$12,"Approaching","Not Yet")),IF('Student Report'!$Q118&lt;&gt;"",IF('Student Report'!$Q118&gt;=Settings!$B$11,"Mastered",IF('Student Report'!$Q118&gt;=Settings!$B$12,"Approaching","Not Yet")),"")),"")</f>
        <v/>
      </c>
      <c r="L128" s="30">
        <f>IFERROR(IF('Student Report'!$Y118&lt;&gt;"",IF('Student Report'!$Y118&gt;=Settings!$B$11,"Mastered",IF('Student Report'!$Y118&gt;=Settings!$B$12,"Approaching","Not Yet")),IF('Student Report'!$R118&lt;&gt;"",IF('Student Report'!$R118&gt;=Settings!$B$11,"Mastered",IF('Student Report'!$R118&gt;=Settings!$B$12,"Approaching","Not Yet")),"")),"")</f>
        <v/>
      </c>
      <c r="M128" s="30">
        <f>IFERROR(IF('Student Report'!$Z118&lt;&gt;"",IF('Student Report'!$Z118&gt;=Settings!$B$11,"Mastered",IF('Student Report'!$Z118&gt;=Settings!$B$12,"Approaching","Not Yet")),IF('Student Report'!$S118&lt;&gt;"",IF('Student Report'!$S118&gt;=Settings!$B$11,"Mastered",IF('Student Report'!$S118&gt;=Settings!$B$12,"Approaching","Not Yet")),"")),"")</f>
        <v/>
      </c>
      <c r="N128" s="30">
        <f>IFERROR(IF('Student Report'!$AA118&lt;&gt;"",IF('Student Report'!$AA118&gt;=Settings!$B$11,"Mastered",IF('Student Report'!$AA118&gt;=Settings!$B$12,"Approaching","Not Yet")),IF('Student Report'!$T118&lt;&gt;"",IF('Student Report'!$T118&gt;=Settings!$B$11,"Mastered",IF('Student Report'!$T118&gt;=Settings!$B$12,"Approaching","Not Yet")),"")),"")</f>
        <v/>
      </c>
      <c r="O128" s="30">
        <f>IFERROR(IF('Student Report'!$AB118&lt;&gt;"",IF('Student Report'!$AB118&gt;=Settings!$B$11,"Mastered",IF('Student Report'!$AB118&gt;=Settings!$B$12,"Approaching","Not Yet")),IF('Student Report'!$U118&lt;&gt;"",IF('Student Report'!$U118&gt;=Settings!$B$11,"Mastered",IF('Student Report'!$U118&gt;=Settings!$B$12,"Approaching","Not Yet")),"")),"")</f>
        <v/>
      </c>
    </row>
    <row r="129">
      <c r="A129" s="30">
        <f>'Student Report'!$A119</f>
        <v/>
      </c>
      <c r="B129" s="56">
        <f>'Student Report'!$B119</f>
        <v/>
      </c>
      <c r="C129" s="30">
        <f>'Student Report'!$C119</f>
        <v/>
      </c>
      <c r="D129" s="30">
        <f>'Student Report'!$G119</f>
        <v/>
      </c>
      <c r="E129" s="30">
        <f>'Student Report'!$I119</f>
        <v/>
      </c>
      <c r="F129" s="57">
        <f>'Student Report'!$AJ119</f>
        <v/>
      </c>
      <c r="G129" s="30">
        <f>'Student Report'!$AK119</f>
        <v/>
      </c>
      <c r="H129" s="30">
        <f>IF($B129="","",COUNTIF(I129:O129,"Not Yet"))</f>
        <v/>
      </c>
      <c r="I129" s="30">
        <f>IFERROR(IF('Student Report'!$V119&lt;&gt;"",IF('Student Report'!$V119&gt;=Settings!$B$11,"Mastered",IF('Student Report'!$V119&gt;=Settings!$B$12,"Approaching","Not Yet")),IF('Student Report'!$O119&lt;&gt;"",IF('Student Report'!$O119&gt;=Settings!$B$11,"Mastered",IF('Student Report'!$O119&gt;=Settings!$B$12,"Approaching","Not Yet")),"")),"")</f>
        <v/>
      </c>
      <c r="J129" s="30">
        <f>IFERROR(IF('Student Report'!$W119&lt;&gt;"",IF('Student Report'!$W119&gt;=Settings!$B$11,"Mastered",IF('Student Report'!$W119&gt;=Settings!$B$12,"Approaching","Not Yet")),IF('Student Report'!$P119&lt;&gt;"",IF('Student Report'!$P119&gt;=Settings!$B$11,"Mastered",IF('Student Report'!$P119&gt;=Settings!$B$12,"Approaching","Not Yet")),"")),"")</f>
        <v/>
      </c>
      <c r="K129" s="30">
        <f>IFERROR(IF('Student Report'!$X119&lt;&gt;"",IF('Student Report'!$X119&gt;=Settings!$B$11,"Mastered",IF('Student Report'!$X119&gt;=Settings!$B$12,"Approaching","Not Yet")),IF('Student Report'!$Q119&lt;&gt;"",IF('Student Report'!$Q119&gt;=Settings!$B$11,"Mastered",IF('Student Report'!$Q119&gt;=Settings!$B$12,"Approaching","Not Yet")),"")),"")</f>
        <v/>
      </c>
      <c r="L129" s="30">
        <f>IFERROR(IF('Student Report'!$Y119&lt;&gt;"",IF('Student Report'!$Y119&gt;=Settings!$B$11,"Mastered",IF('Student Report'!$Y119&gt;=Settings!$B$12,"Approaching","Not Yet")),IF('Student Report'!$R119&lt;&gt;"",IF('Student Report'!$R119&gt;=Settings!$B$11,"Mastered",IF('Student Report'!$R119&gt;=Settings!$B$12,"Approaching","Not Yet")),"")),"")</f>
        <v/>
      </c>
      <c r="M129" s="30">
        <f>IFERROR(IF('Student Report'!$Z119&lt;&gt;"",IF('Student Report'!$Z119&gt;=Settings!$B$11,"Mastered",IF('Student Report'!$Z119&gt;=Settings!$B$12,"Approaching","Not Yet")),IF('Student Report'!$S119&lt;&gt;"",IF('Student Report'!$S119&gt;=Settings!$B$11,"Mastered",IF('Student Report'!$S119&gt;=Settings!$B$12,"Approaching","Not Yet")),"")),"")</f>
        <v/>
      </c>
      <c r="N129" s="30">
        <f>IFERROR(IF('Student Report'!$AA119&lt;&gt;"",IF('Student Report'!$AA119&gt;=Settings!$B$11,"Mastered",IF('Student Report'!$AA119&gt;=Settings!$B$12,"Approaching","Not Yet")),IF('Student Report'!$T119&lt;&gt;"",IF('Student Report'!$T119&gt;=Settings!$B$11,"Mastered",IF('Student Report'!$T119&gt;=Settings!$B$12,"Approaching","Not Yet")),"")),"")</f>
        <v/>
      </c>
      <c r="O129" s="30">
        <f>IFERROR(IF('Student Report'!$AB119&lt;&gt;"",IF('Student Report'!$AB119&gt;=Settings!$B$11,"Mastered",IF('Student Report'!$AB119&gt;=Settings!$B$12,"Approaching","Not Yet")),IF('Student Report'!$U119&lt;&gt;"",IF('Student Report'!$U119&gt;=Settings!$B$11,"Mastered",IF('Student Report'!$U119&gt;=Settings!$B$12,"Approaching","Not Yet")),"")),"")</f>
        <v/>
      </c>
    </row>
    <row r="130">
      <c r="A130" s="30">
        <f>'Student Report'!$A120</f>
        <v/>
      </c>
      <c r="B130" s="56">
        <f>'Student Report'!$B120</f>
        <v/>
      </c>
      <c r="C130" s="30">
        <f>'Student Report'!$C120</f>
        <v/>
      </c>
      <c r="D130" s="30">
        <f>'Student Report'!$G120</f>
        <v/>
      </c>
      <c r="E130" s="30">
        <f>'Student Report'!$I120</f>
        <v/>
      </c>
      <c r="F130" s="57">
        <f>'Student Report'!$AJ120</f>
        <v/>
      </c>
      <c r="G130" s="30">
        <f>'Student Report'!$AK120</f>
        <v/>
      </c>
      <c r="H130" s="30">
        <f>IF($B130="","",COUNTIF(I130:O130,"Not Yet"))</f>
        <v/>
      </c>
      <c r="I130" s="30">
        <f>IFERROR(IF('Student Report'!$V120&lt;&gt;"",IF('Student Report'!$V120&gt;=Settings!$B$11,"Mastered",IF('Student Report'!$V120&gt;=Settings!$B$12,"Approaching","Not Yet")),IF('Student Report'!$O120&lt;&gt;"",IF('Student Report'!$O120&gt;=Settings!$B$11,"Mastered",IF('Student Report'!$O120&gt;=Settings!$B$12,"Approaching","Not Yet")),"")),"")</f>
        <v/>
      </c>
      <c r="J130" s="30">
        <f>IFERROR(IF('Student Report'!$W120&lt;&gt;"",IF('Student Report'!$W120&gt;=Settings!$B$11,"Mastered",IF('Student Report'!$W120&gt;=Settings!$B$12,"Approaching","Not Yet")),IF('Student Report'!$P120&lt;&gt;"",IF('Student Report'!$P120&gt;=Settings!$B$11,"Mastered",IF('Student Report'!$P120&gt;=Settings!$B$12,"Approaching","Not Yet")),"")),"")</f>
        <v/>
      </c>
      <c r="K130" s="30">
        <f>IFERROR(IF('Student Report'!$X120&lt;&gt;"",IF('Student Report'!$X120&gt;=Settings!$B$11,"Mastered",IF('Student Report'!$X120&gt;=Settings!$B$12,"Approaching","Not Yet")),IF('Student Report'!$Q120&lt;&gt;"",IF('Student Report'!$Q120&gt;=Settings!$B$11,"Mastered",IF('Student Report'!$Q120&gt;=Settings!$B$12,"Approaching","Not Yet")),"")),"")</f>
        <v/>
      </c>
      <c r="L130" s="30">
        <f>IFERROR(IF('Student Report'!$Y120&lt;&gt;"",IF('Student Report'!$Y120&gt;=Settings!$B$11,"Mastered",IF('Student Report'!$Y120&gt;=Settings!$B$12,"Approaching","Not Yet")),IF('Student Report'!$R120&lt;&gt;"",IF('Student Report'!$R120&gt;=Settings!$B$11,"Mastered",IF('Student Report'!$R120&gt;=Settings!$B$12,"Approaching","Not Yet")),"")),"")</f>
        <v/>
      </c>
      <c r="M130" s="30">
        <f>IFERROR(IF('Student Report'!$Z120&lt;&gt;"",IF('Student Report'!$Z120&gt;=Settings!$B$11,"Mastered",IF('Student Report'!$Z120&gt;=Settings!$B$12,"Approaching","Not Yet")),IF('Student Report'!$S120&lt;&gt;"",IF('Student Report'!$S120&gt;=Settings!$B$11,"Mastered",IF('Student Report'!$S120&gt;=Settings!$B$12,"Approaching","Not Yet")),"")),"")</f>
        <v/>
      </c>
      <c r="N130" s="30">
        <f>IFERROR(IF('Student Report'!$AA120&lt;&gt;"",IF('Student Report'!$AA120&gt;=Settings!$B$11,"Mastered",IF('Student Report'!$AA120&gt;=Settings!$B$12,"Approaching","Not Yet")),IF('Student Report'!$T120&lt;&gt;"",IF('Student Report'!$T120&gt;=Settings!$B$11,"Mastered",IF('Student Report'!$T120&gt;=Settings!$B$12,"Approaching","Not Yet")),"")),"")</f>
        <v/>
      </c>
      <c r="O130" s="30">
        <f>IFERROR(IF('Student Report'!$AB120&lt;&gt;"",IF('Student Report'!$AB120&gt;=Settings!$B$11,"Mastered",IF('Student Report'!$AB120&gt;=Settings!$B$12,"Approaching","Not Yet")),IF('Student Report'!$U120&lt;&gt;"",IF('Student Report'!$U120&gt;=Settings!$B$11,"Mastered",IF('Student Report'!$U120&gt;=Settings!$B$12,"Approaching","Not Yet")),"")),"")</f>
        <v/>
      </c>
    </row>
    <row r="131">
      <c r="A131" s="30">
        <f>'Student Report'!$A121</f>
        <v/>
      </c>
      <c r="B131" s="56">
        <f>'Student Report'!$B121</f>
        <v/>
      </c>
      <c r="C131" s="30">
        <f>'Student Report'!$C121</f>
        <v/>
      </c>
      <c r="D131" s="30">
        <f>'Student Report'!$G121</f>
        <v/>
      </c>
      <c r="E131" s="30">
        <f>'Student Report'!$I121</f>
        <v/>
      </c>
      <c r="F131" s="57">
        <f>'Student Report'!$AJ121</f>
        <v/>
      </c>
      <c r="G131" s="30">
        <f>'Student Report'!$AK121</f>
        <v/>
      </c>
      <c r="H131" s="30">
        <f>IF($B131="","",COUNTIF(I131:O131,"Not Yet"))</f>
        <v/>
      </c>
      <c r="I131" s="30">
        <f>IFERROR(IF('Student Report'!$V121&lt;&gt;"",IF('Student Report'!$V121&gt;=Settings!$B$11,"Mastered",IF('Student Report'!$V121&gt;=Settings!$B$12,"Approaching","Not Yet")),IF('Student Report'!$O121&lt;&gt;"",IF('Student Report'!$O121&gt;=Settings!$B$11,"Mastered",IF('Student Report'!$O121&gt;=Settings!$B$12,"Approaching","Not Yet")),"")),"")</f>
        <v/>
      </c>
      <c r="J131" s="30">
        <f>IFERROR(IF('Student Report'!$W121&lt;&gt;"",IF('Student Report'!$W121&gt;=Settings!$B$11,"Mastered",IF('Student Report'!$W121&gt;=Settings!$B$12,"Approaching","Not Yet")),IF('Student Report'!$P121&lt;&gt;"",IF('Student Report'!$P121&gt;=Settings!$B$11,"Mastered",IF('Student Report'!$P121&gt;=Settings!$B$12,"Approaching","Not Yet")),"")),"")</f>
        <v/>
      </c>
      <c r="K131" s="30">
        <f>IFERROR(IF('Student Report'!$X121&lt;&gt;"",IF('Student Report'!$X121&gt;=Settings!$B$11,"Mastered",IF('Student Report'!$X121&gt;=Settings!$B$12,"Approaching","Not Yet")),IF('Student Report'!$Q121&lt;&gt;"",IF('Student Report'!$Q121&gt;=Settings!$B$11,"Mastered",IF('Student Report'!$Q121&gt;=Settings!$B$12,"Approaching","Not Yet")),"")),"")</f>
        <v/>
      </c>
      <c r="L131" s="30">
        <f>IFERROR(IF('Student Report'!$Y121&lt;&gt;"",IF('Student Report'!$Y121&gt;=Settings!$B$11,"Mastered",IF('Student Report'!$Y121&gt;=Settings!$B$12,"Approaching","Not Yet")),IF('Student Report'!$R121&lt;&gt;"",IF('Student Report'!$R121&gt;=Settings!$B$11,"Mastered",IF('Student Report'!$R121&gt;=Settings!$B$12,"Approaching","Not Yet")),"")),"")</f>
        <v/>
      </c>
      <c r="M131" s="30">
        <f>IFERROR(IF('Student Report'!$Z121&lt;&gt;"",IF('Student Report'!$Z121&gt;=Settings!$B$11,"Mastered",IF('Student Report'!$Z121&gt;=Settings!$B$12,"Approaching","Not Yet")),IF('Student Report'!$S121&lt;&gt;"",IF('Student Report'!$S121&gt;=Settings!$B$11,"Mastered",IF('Student Report'!$S121&gt;=Settings!$B$12,"Approaching","Not Yet")),"")),"")</f>
        <v/>
      </c>
      <c r="N131" s="30">
        <f>IFERROR(IF('Student Report'!$AA121&lt;&gt;"",IF('Student Report'!$AA121&gt;=Settings!$B$11,"Mastered",IF('Student Report'!$AA121&gt;=Settings!$B$12,"Approaching","Not Yet")),IF('Student Report'!$T121&lt;&gt;"",IF('Student Report'!$T121&gt;=Settings!$B$11,"Mastered",IF('Student Report'!$T121&gt;=Settings!$B$12,"Approaching","Not Yet")),"")),"")</f>
        <v/>
      </c>
      <c r="O131" s="30">
        <f>IFERROR(IF('Student Report'!$AB121&lt;&gt;"",IF('Student Report'!$AB121&gt;=Settings!$B$11,"Mastered",IF('Student Report'!$AB121&gt;=Settings!$B$12,"Approaching","Not Yet")),IF('Student Report'!$U121&lt;&gt;"",IF('Student Report'!$U121&gt;=Settings!$B$11,"Mastered",IF('Student Report'!$U121&gt;=Settings!$B$12,"Approaching","Not Yet")),"")),"")</f>
        <v/>
      </c>
    </row>
    <row r="132">
      <c r="A132" s="30">
        <f>'Student Report'!$A122</f>
        <v/>
      </c>
      <c r="B132" s="56">
        <f>'Student Report'!$B122</f>
        <v/>
      </c>
      <c r="C132" s="30">
        <f>'Student Report'!$C122</f>
        <v/>
      </c>
      <c r="D132" s="30">
        <f>'Student Report'!$G122</f>
        <v/>
      </c>
      <c r="E132" s="30">
        <f>'Student Report'!$I122</f>
        <v/>
      </c>
      <c r="F132" s="57">
        <f>'Student Report'!$AJ122</f>
        <v/>
      </c>
      <c r="G132" s="30">
        <f>'Student Report'!$AK122</f>
        <v/>
      </c>
      <c r="H132" s="30">
        <f>IF($B132="","",COUNTIF(I132:O132,"Not Yet"))</f>
        <v/>
      </c>
      <c r="I132" s="30">
        <f>IFERROR(IF('Student Report'!$V122&lt;&gt;"",IF('Student Report'!$V122&gt;=Settings!$B$11,"Mastered",IF('Student Report'!$V122&gt;=Settings!$B$12,"Approaching","Not Yet")),IF('Student Report'!$O122&lt;&gt;"",IF('Student Report'!$O122&gt;=Settings!$B$11,"Mastered",IF('Student Report'!$O122&gt;=Settings!$B$12,"Approaching","Not Yet")),"")),"")</f>
        <v/>
      </c>
      <c r="J132" s="30">
        <f>IFERROR(IF('Student Report'!$W122&lt;&gt;"",IF('Student Report'!$W122&gt;=Settings!$B$11,"Mastered",IF('Student Report'!$W122&gt;=Settings!$B$12,"Approaching","Not Yet")),IF('Student Report'!$P122&lt;&gt;"",IF('Student Report'!$P122&gt;=Settings!$B$11,"Mastered",IF('Student Report'!$P122&gt;=Settings!$B$12,"Approaching","Not Yet")),"")),"")</f>
        <v/>
      </c>
      <c r="K132" s="30">
        <f>IFERROR(IF('Student Report'!$X122&lt;&gt;"",IF('Student Report'!$X122&gt;=Settings!$B$11,"Mastered",IF('Student Report'!$X122&gt;=Settings!$B$12,"Approaching","Not Yet")),IF('Student Report'!$Q122&lt;&gt;"",IF('Student Report'!$Q122&gt;=Settings!$B$11,"Mastered",IF('Student Report'!$Q122&gt;=Settings!$B$12,"Approaching","Not Yet")),"")),"")</f>
        <v/>
      </c>
      <c r="L132" s="30">
        <f>IFERROR(IF('Student Report'!$Y122&lt;&gt;"",IF('Student Report'!$Y122&gt;=Settings!$B$11,"Mastered",IF('Student Report'!$Y122&gt;=Settings!$B$12,"Approaching","Not Yet")),IF('Student Report'!$R122&lt;&gt;"",IF('Student Report'!$R122&gt;=Settings!$B$11,"Mastered",IF('Student Report'!$R122&gt;=Settings!$B$12,"Approaching","Not Yet")),"")),"")</f>
        <v/>
      </c>
      <c r="M132" s="30">
        <f>IFERROR(IF('Student Report'!$Z122&lt;&gt;"",IF('Student Report'!$Z122&gt;=Settings!$B$11,"Mastered",IF('Student Report'!$Z122&gt;=Settings!$B$12,"Approaching","Not Yet")),IF('Student Report'!$S122&lt;&gt;"",IF('Student Report'!$S122&gt;=Settings!$B$11,"Mastered",IF('Student Report'!$S122&gt;=Settings!$B$12,"Approaching","Not Yet")),"")),"")</f>
        <v/>
      </c>
      <c r="N132" s="30">
        <f>IFERROR(IF('Student Report'!$AA122&lt;&gt;"",IF('Student Report'!$AA122&gt;=Settings!$B$11,"Mastered",IF('Student Report'!$AA122&gt;=Settings!$B$12,"Approaching","Not Yet")),IF('Student Report'!$T122&lt;&gt;"",IF('Student Report'!$T122&gt;=Settings!$B$11,"Mastered",IF('Student Report'!$T122&gt;=Settings!$B$12,"Approaching","Not Yet")),"")),"")</f>
        <v/>
      </c>
      <c r="O132" s="30">
        <f>IFERROR(IF('Student Report'!$AB122&lt;&gt;"",IF('Student Report'!$AB122&gt;=Settings!$B$11,"Mastered",IF('Student Report'!$AB122&gt;=Settings!$B$12,"Approaching","Not Yet")),IF('Student Report'!$U122&lt;&gt;"",IF('Student Report'!$U122&gt;=Settings!$B$11,"Mastered",IF('Student Report'!$U122&gt;=Settings!$B$12,"Approaching","Not Yet")),"")),"")</f>
        <v/>
      </c>
    </row>
    <row r="133">
      <c r="A133" s="30">
        <f>'Student Report'!$A123</f>
        <v/>
      </c>
      <c r="B133" s="56">
        <f>'Student Report'!$B123</f>
        <v/>
      </c>
      <c r="C133" s="30">
        <f>'Student Report'!$C123</f>
        <v/>
      </c>
      <c r="D133" s="30">
        <f>'Student Report'!$G123</f>
        <v/>
      </c>
      <c r="E133" s="30">
        <f>'Student Report'!$I123</f>
        <v/>
      </c>
      <c r="F133" s="57">
        <f>'Student Report'!$AJ123</f>
        <v/>
      </c>
      <c r="G133" s="30">
        <f>'Student Report'!$AK123</f>
        <v/>
      </c>
      <c r="H133" s="30">
        <f>IF($B133="","",COUNTIF(I133:O133,"Not Yet"))</f>
        <v/>
      </c>
      <c r="I133" s="30">
        <f>IFERROR(IF('Student Report'!$V123&lt;&gt;"",IF('Student Report'!$V123&gt;=Settings!$B$11,"Mastered",IF('Student Report'!$V123&gt;=Settings!$B$12,"Approaching","Not Yet")),IF('Student Report'!$O123&lt;&gt;"",IF('Student Report'!$O123&gt;=Settings!$B$11,"Mastered",IF('Student Report'!$O123&gt;=Settings!$B$12,"Approaching","Not Yet")),"")),"")</f>
        <v/>
      </c>
      <c r="J133" s="30">
        <f>IFERROR(IF('Student Report'!$W123&lt;&gt;"",IF('Student Report'!$W123&gt;=Settings!$B$11,"Mastered",IF('Student Report'!$W123&gt;=Settings!$B$12,"Approaching","Not Yet")),IF('Student Report'!$P123&lt;&gt;"",IF('Student Report'!$P123&gt;=Settings!$B$11,"Mastered",IF('Student Report'!$P123&gt;=Settings!$B$12,"Approaching","Not Yet")),"")),"")</f>
        <v/>
      </c>
      <c r="K133" s="30">
        <f>IFERROR(IF('Student Report'!$X123&lt;&gt;"",IF('Student Report'!$X123&gt;=Settings!$B$11,"Mastered",IF('Student Report'!$X123&gt;=Settings!$B$12,"Approaching","Not Yet")),IF('Student Report'!$Q123&lt;&gt;"",IF('Student Report'!$Q123&gt;=Settings!$B$11,"Mastered",IF('Student Report'!$Q123&gt;=Settings!$B$12,"Approaching","Not Yet")),"")),"")</f>
        <v/>
      </c>
      <c r="L133" s="30">
        <f>IFERROR(IF('Student Report'!$Y123&lt;&gt;"",IF('Student Report'!$Y123&gt;=Settings!$B$11,"Mastered",IF('Student Report'!$Y123&gt;=Settings!$B$12,"Approaching","Not Yet")),IF('Student Report'!$R123&lt;&gt;"",IF('Student Report'!$R123&gt;=Settings!$B$11,"Mastered",IF('Student Report'!$R123&gt;=Settings!$B$12,"Approaching","Not Yet")),"")),"")</f>
        <v/>
      </c>
      <c r="M133" s="30">
        <f>IFERROR(IF('Student Report'!$Z123&lt;&gt;"",IF('Student Report'!$Z123&gt;=Settings!$B$11,"Mastered",IF('Student Report'!$Z123&gt;=Settings!$B$12,"Approaching","Not Yet")),IF('Student Report'!$S123&lt;&gt;"",IF('Student Report'!$S123&gt;=Settings!$B$11,"Mastered",IF('Student Report'!$S123&gt;=Settings!$B$12,"Approaching","Not Yet")),"")),"")</f>
        <v/>
      </c>
      <c r="N133" s="30">
        <f>IFERROR(IF('Student Report'!$AA123&lt;&gt;"",IF('Student Report'!$AA123&gt;=Settings!$B$11,"Mastered",IF('Student Report'!$AA123&gt;=Settings!$B$12,"Approaching","Not Yet")),IF('Student Report'!$T123&lt;&gt;"",IF('Student Report'!$T123&gt;=Settings!$B$11,"Mastered",IF('Student Report'!$T123&gt;=Settings!$B$12,"Approaching","Not Yet")),"")),"")</f>
        <v/>
      </c>
      <c r="O133" s="30">
        <f>IFERROR(IF('Student Report'!$AB123&lt;&gt;"",IF('Student Report'!$AB123&gt;=Settings!$B$11,"Mastered",IF('Student Report'!$AB123&gt;=Settings!$B$12,"Approaching","Not Yet")),IF('Student Report'!$U123&lt;&gt;"",IF('Student Report'!$U123&gt;=Settings!$B$11,"Mastered",IF('Student Report'!$U123&gt;=Settings!$B$12,"Approaching","Not Yet")),"")),"")</f>
        <v/>
      </c>
    </row>
    <row r="134">
      <c r="A134" s="30">
        <f>'Student Report'!$A124</f>
        <v/>
      </c>
      <c r="B134" s="56">
        <f>'Student Report'!$B124</f>
        <v/>
      </c>
      <c r="C134" s="30">
        <f>'Student Report'!$C124</f>
        <v/>
      </c>
      <c r="D134" s="30">
        <f>'Student Report'!$G124</f>
        <v/>
      </c>
      <c r="E134" s="30">
        <f>'Student Report'!$I124</f>
        <v/>
      </c>
      <c r="F134" s="57">
        <f>'Student Report'!$AJ124</f>
        <v/>
      </c>
      <c r="G134" s="30">
        <f>'Student Report'!$AK124</f>
        <v/>
      </c>
      <c r="H134" s="30">
        <f>IF($B134="","",COUNTIF(I134:O134,"Not Yet"))</f>
        <v/>
      </c>
      <c r="I134" s="30">
        <f>IFERROR(IF('Student Report'!$V124&lt;&gt;"",IF('Student Report'!$V124&gt;=Settings!$B$11,"Mastered",IF('Student Report'!$V124&gt;=Settings!$B$12,"Approaching","Not Yet")),IF('Student Report'!$O124&lt;&gt;"",IF('Student Report'!$O124&gt;=Settings!$B$11,"Mastered",IF('Student Report'!$O124&gt;=Settings!$B$12,"Approaching","Not Yet")),"")),"")</f>
        <v/>
      </c>
      <c r="J134" s="30">
        <f>IFERROR(IF('Student Report'!$W124&lt;&gt;"",IF('Student Report'!$W124&gt;=Settings!$B$11,"Mastered",IF('Student Report'!$W124&gt;=Settings!$B$12,"Approaching","Not Yet")),IF('Student Report'!$P124&lt;&gt;"",IF('Student Report'!$P124&gt;=Settings!$B$11,"Mastered",IF('Student Report'!$P124&gt;=Settings!$B$12,"Approaching","Not Yet")),"")),"")</f>
        <v/>
      </c>
      <c r="K134" s="30">
        <f>IFERROR(IF('Student Report'!$X124&lt;&gt;"",IF('Student Report'!$X124&gt;=Settings!$B$11,"Mastered",IF('Student Report'!$X124&gt;=Settings!$B$12,"Approaching","Not Yet")),IF('Student Report'!$Q124&lt;&gt;"",IF('Student Report'!$Q124&gt;=Settings!$B$11,"Mastered",IF('Student Report'!$Q124&gt;=Settings!$B$12,"Approaching","Not Yet")),"")),"")</f>
        <v/>
      </c>
      <c r="L134" s="30">
        <f>IFERROR(IF('Student Report'!$Y124&lt;&gt;"",IF('Student Report'!$Y124&gt;=Settings!$B$11,"Mastered",IF('Student Report'!$Y124&gt;=Settings!$B$12,"Approaching","Not Yet")),IF('Student Report'!$R124&lt;&gt;"",IF('Student Report'!$R124&gt;=Settings!$B$11,"Mastered",IF('Student Report'!$R124&gt;=Settings!$B$12,"Approaching","Not Yet")),"")),"")</f>
        <v/>
      </c>
      <c r="M134" s="30">
        <f>IFERROR(IF('Student Report'!$Z124&lt;&gt;"",IF('Student Report'!$Z124&gt;=Settings!$B$11,"Mastered",IF('Student Report'!$Z124&gt;=Settings!$B$12,"Approaching","Not Yet")),IF('Student Report'!$S124&lt;&gt;"",IF('Student Report'!$S124&gt;=Settings!$B$11,"Mastered",IF('Student Report'!$S124&gt;=Settings!$B$12,"Approaching","Not Yet")),"")),"")</f>
        <v/>
      </c>
      <c r="N134" s="30">
        <f>IFERROR(IF('Student Report'!$AA124&lt;&gt;"",IF('Student Report'!$AA124&gt;=Settings!$B$11,"Mastered",IF('Student Report'!$AA124&gt;=Settings!$B$12,"Approaching","Not Yet")),IF('Student Report'!$T124&lt;&gt;"",IF('Student Report'!$T124&gt;=Settings!$B$11,"Mastered",IF('Student Report'!$T124&gt;=Settings!$B$12,"Approaching","Not Yet")),"")),"")</f>
        <v/>
      </c>
      <c r="O134" s="30">
        <f>IFERROR(IF('Student Report'!$AB124&lt;&gt;"",IF('Student Report'!$AB124&gt;=Settings!$B$11,"Mastered",IF('Student Report'!$AB124&gt;=Settings!$B$12,"Approaching","Not Yet")),IF('Student Report'!$U124&lt;&gt;"",IF('Student Report'!$U124&gt;=Settings!$B$11,"Mastered",IF('Student Report'!$U124&gt;=Settings!$B$12,"Approaching","Not Yet")),"")),"")</f>
        <v/>
      </c>
    </row>
    <row r="135">
      <c r="A135" s="30">
        <f>'Student Report'!$A125</f>
        <v/>
      </c>
      <c r="B135" s="56">
        <f>'Student Report'!$B125</f>
        <v/>
      </c>
      <c r="C135" s="30">
        <f>'Student Report'!$C125</f>
        <v/>
      </c>
      <c r="D135" s="30">
        <f>'Student Report'!$G125</f>
        <v/>
      </c>
      <c r="E135" s="30">
        <f>'Student Report'!$I125</f>
        <v/>
      </c>
      <c r="F135" s="57">
        <f>'Student Report'!$AJ125</f>
        <v/>
      </c>
      <c r="G135" s="30">
        <f>'Student Report'!$AK125</f>
        <v/>
      </c>
      <c r="H135" s="30">
        <f>IF($B135="","",COUNTIF(I135:O135,"Not Yet"))</f>
        <v/>
      </c>
      <c r="I135" s="30">
        <f>IFERROR(IF('Student Report'!$V125&lt;&gt;"",IF('Student Report'!$V125&gt;=Settings!$B$11,"Mastered",IF('Student Report'!$V125&gt;=Settings!$B$12,"Approaching","Not Yet")),IF('Student Report'!$O125&lt;&gt;"",IF('Student Report'!$O125&gt;=Settings!$B$11,"Mastered",IF('Student Report'!$O125&gt;=Settings!$B$12,"Approaching","Not Yet")),"")),"")</f>
        <v/>
      </c>
      <c r="J135" s="30">
        <f>IFERROR(IF('Student Report'!$W125&lt;&gt;"",IF('Student Report'!$W125&gt;=Settings!$B$11,"Mastered",IF('Student Report'!$W125&gt;=Settings!$B$12,"Approaching","Not Yet")),IF('Student Report'!$P125&lt;&gt;"",IF('Student Report'!$P125&gt;=Settings!$B$11,"Mastered",IF('Student Report'!$P125&gt;=Settings!$B$12,"Approaching","Not Yet")),"")),"")</f>
        <v/>
      </c>
      <c r="K135" s="30">
        <f>IFERROR(IF('Student Report'!$X125&lt;&gt;"",IF('Student Report'!$X125&gt;=Settings!$B$11,"Mastered",IF('Student Report'!$X125&gt;=Settings!$B$12,"Approaching","Not Yet")),IF('Student Report'!$Q125&lt;&gt;"",IF('Student Report'!$Q125&gt;=Settings!$B$11,"Mastered",IF('Student Report'!$Q125&gt;=Settings!$B$12,"Approaching","Not Yet")),"")),"")</f>
        <v/>
      </c>
      <c r="L135" s="30">
        <f>IFERROR(IF('Student Report'!$Y125&lt;&gt;"",IF('Student Report'!$Y125&gt;=Settings!$B$11,"Mastered",IF('Student Report'!$Y125&gt;=Settings!$B$12,"Approaching","Not Yet")),IF('Student Report'!$R125&lt;&gt;"",IF('Student Report'!$R125&gt;=Settings!$B$11,"Mastered",IF('Student Report'!$R125&gt;=Settings!$B$12,"Approaching","Not Yet")),"")),"")</f>
        <v/>
      </c>
      <c r="M135" s="30">
        <f>IFERROR(IF('Student Report'!$Z125&lt;&gt;"",IF('Student Report'!$Z125&gt;=Settings!$B$11,"Mastered",IF('Student Report'!$Z125&gt;=Settings!$B$12,"Approaching","Not Yet")),IF('Student Report'!$S125&lt;&gt;"",IF('Student Report'!$S125&gt;=Settings!$B$11,"Mastered",IF('Student Report'!$S125&gt;=Settings!$B$12,"Approaching","Not Yet")),"")),"")</f>
        <v/>
      </c>
      <c r="N135" s="30">
        <f>IFERROR(IF('Student Report'!$AA125&lt;&gt;"",IF('Student Report'!$AA125&gt;=Settings!$B$11,"Mastered",IF('Student Report'!$AA125&gt;=Settings!$B$12,"Approaching","Not Yet")),IF('Student Report'!$T125&lt;&gt;"",IF('Student Report'!$T125&gt;=Settings!$B$11,"Mastered",IF('Student Report'!$T125&gt;=Settings!$B$12,"Approaching","Not Yet")),"")),"")</f>
        <v/>
      </c>
      <c r="O135" s="30">
        <f>IFERROR(IF('Student Report'!$AB125&lt;&gt;"",IF('Student Report'!$AB125&gt;=Settings!$B$11,"Mastered",IF('Student Report'!$AB125&gt;=Settings!$B$12,"Approaching","Not Yet")),IF('Student Report'!$U125&lt;&gt;"",IF('Student Report'!$U125&gt;=Settings!$B$11,"Mastered",IF('Student Report'!$U125&gt;=Settings!$B$12,"Approaching","Not Yet")),"")),"")</f>
        <v/>
      </c>
    </row>
    <row r="136">
      <c r="A136" s="30">
        <f>'Student Report'!$A126</f>
        <v/>
      </c>
      <c r="B136" s="56">
        <f>'Student Report'!$B126</f>
        <v/>
      </c>
      <c r="C136" s="30">
        <f>'Student Report'!$C126</f>
        <v/>
      </c>
      <c r="D136" s="30">
        <f>'Student Report'!$G126</f>
        <v/>
      </c>
      <c r="E136" s="30">
        <f>'Student Report'!$I126</f>
        <v/>
      </c>
      <c r="F136" s="57">
        <f>'Student Report'!$AJ126</f>
        <v/>
      </c>
      <c r="G136" s="30">
        <f>'Student Report'!$AK126</f>
        <v/>
      </c>
      <c r="H136" s="30">
        <f>IF($B136="","",COUNTIF(I136:O136,"Not Yet"))</f>
        <v/>
      </c>
      <c r="I136" s="30">
        <f>IFERROR(IF('Student Report'!$V126&lt;&gt;"",IF('Student Report'!$V126&gt;=Settings!$B$11,"Mastered",IF('Student Report'!$V126&gt;=Settings!$B$12,"Approaching","Not Yet")),IF('Student Report'!$O126&lt;&gt;"",IF('Student Report'!$O126&gt;=Settings!$B$11,"Mastered",IF('Student Report'!$O126&gt;=Settings!$B$12,"Approaching","Not Yet")),"")),"")</f>
        <v/>
      </c>
      <c r="J136" s="30">
        <f>IFERROR(IF('Student Report'!$W126&lt;&gt;"",IF('Student Report'!$W126&gt;=Settings!$B$11,"Mastered",IF('Student Report'!$W126&gt;=Settings!$B$12,"Approaching","Not Yet")),IF('Student Report'!$P126&lt;&gt;"",IF('Student Report'!$P126&gt;=Settings!$B$11,"Mastered",IF('Student Report'!$P126&gt;=Settings!$B$12,"Approaching","Not Yet")),"")),"")</f>
        <v/>
      </c>
      <c r="K136" s="30">
        <f>IFERROR(IF('Student Report'!$X126&lt;&gt;"",IF('Student Report'!$X126&gt;=Settings!$B$11,"Mastered",IF('Student Report'!$X126&gt;=Settings!$B$12,"Approaching","Not Yet")),IF('Student Report'!$Q126&lt;&gt;"",IF('Student Report'!$Q126&gt;=Settings!$B$11,"Mastered",IF('Student Report'!$Q126&gt;=Settings!$B$12,"Approaching","Not Yet")),"")),"")</f>
        <v/>
      </c>
      <c r="L136" s="30">
        <f>IFERROR(IF('Student Report'!$Y126&lt;&gt;"",IF('Student Report'!$Y126&gt;=Settings!$B$11,"Mastered",IF('Student Report'!$Y126&gt;=Settings!$B$12,"Approaching","Not Yet")),IF('Student Report'!$R126&lt;&gt;"",IF('Student Report'!$R126&gt;=Settings!$B$11,"Mastered",IF('Student Report'!$R126&gt;=Settings!$B$12,"Approaching","Not Yet")),"")),"")</f>
        <v/>
      </c>
      <c r="M136" s="30">
        <f>IFERROR(IF('Student Report'!$Z126&lt;&gt;"",IF('Student Report'!$Z126&gt;=Settings!$B$11,"Mastered",IF('Student Report'!$Z126&gt;=Settings!$B$12,"Approaching","Not Yet")),IF('Student Report'!$S126&lt;&gt;"",IF('Student Report'!$S126&gt;=Settings!$B$11,"Mastered",IF('Student Report'!$S126&gt;=Settings!$B$12,"Approaching","Not Yet")),"")),"")</f>
        <v/>
      </c>
      <c r="N136" s="30">
        <f>IFERROR(IF('Student Report'!$AA126&lt;&gt;"",IF('Student Report'!$AA126&gt;=Settings!$B$11,"Mastered",IF('Student Report'!$AA126&gt;=Settings!$B$12,"Approaching","Not Yet")),IF('Student Report'!$T126&lt;&gt;"",IF('Student Report'!$T126&gt;=Settings!$B$11,"Mastered",IF('Student Report'!$T126&gt;=Settings!$B$12,"Approaching","Not Yet")),"")),"")</f>
        <v/>
      </c>
      <c r="O136" s="30">
        <f>IFERROR(IF('Student Report'!$AB126&lt;&gt;"",IF('Student Report'!$AB126&gt;=Settings!$B$11,"Mastered",IF('Student Report'!$AB126&gt;=Settings!$B$12,"Approaching","Not Yet")),IF('Student Report'!$U126&lt;&gt;"",IF('Student Report'!$U126&gt;=Settings!$B$11,"Mastered",IF('Student Report'!$U126&gt;=Settings!$B$12,"Approaching","Not Yet")),"")),"")</f>
        <v/>
      </c>
    </row>
    <row r="137">
      <c r="A137" s="30">
        <f>'Student Report'!$A127</f>
        <v/>
      </c>
      <c r="B137" s="56">
        <f>'Student Report'!$B127</f>
        <v/>
      </c>
      <c r="C137" s="30">
        <f>'Student Report'!$C127</f>
        <v/>
      </c>
      <c r="D137" s="30">
        <f>'Student Report'!$G127</f>
        <v/>
      </c>
      <c r="E137" s="30">
        <f>'Student Report'!$I127</f>
        <v/>
      </c>
      <c r="F137" s="57">
        <f>'Student Report'!$AJ127</f>
        <v/>
      </c>
      <c r="G137" s="30">
        <f>'Student Report'!$AK127</f>
        <v/>
      </c>
      <c r="H137" s="30">
        <f>IF($B137="","",COUNTIF(I137:O137,"Not Yet"))</f>
        <v/>
      </c>
      <c r="I137" s="30">
        <f>IFERROR(IF('Student Report'!$V127&lt;&gt;"",IF('Student Report'!$V127&gt;=Settings!$B$11,"Mastered",IF('Student Report'!$V127&gt;=Settings!$B$12,"Approaching","Not Yet")),IF('Student Report'!$O127&lt;&gt;"",IF('Student Report'!$O127&gt;=Settings!$B$11,"Mastered",IF('Student Report'!$O127&gt;=Settings!$B$12,"Approaching","Not Yet")),"")),"")</f>
        <v/>
      </c>
      <c r="J137" s="30">
        <f>IFERROR(IF('Student Report'!$W127&lt;&gt;"",IF('Student Report'!$W127&gt;=Settings!$B$11,"Mastered",IF('Student Report'!$W127&gt;=Settings!$B$12,"Approaching","Not Yet")),IF('Student Report'!$P127&lt;&gt;"",IF('Student Report'!$P127&gt;=Settings!$B$11,"Mastered",IF('Student Report'!$P127&gt;=Settings!$B$12,"Approaching","Not Yet")),"")),"")</f>
        <v/>
      </c>
      <c r="K137" s="30">
        <f>IFERROR(IF('Student Report'!$X127&lt;&gt;"",IF('Student Report'!$X127&gt;=Settings!$B$11,"Mastered",IF('Student Report'!$X127&gt;=Settings!$B$12,"Approaching","Not Yet")),IF('Student Report'!$Q127&lt;&gt;"",IF('Student Report'!$Q127&gt;=Settings!$B$11,"Mastered",IF('Student Report'!$Q127&gt;=Settings!$B$12,"Approaching","Not Yet")),"")),"")</f>
        <v/>
      </c>
      <c r="L137" s="30">
        <f>IFERROR(IF('Student Report'!$Y127&lt;&gt;"",IF('Student Report'!$Y127&gt;=Settings!$B$11,"Mastered",IF('Student Report'!$Y127&gt;=Settings!$B$12,"Approaching","Not Yet")),IF('Student Report'!$R127&lt;&gt;"",IF('Student Report'!$R127&gt;=Settings!$B$11,"Mastered",IF('Student Report'!$R127&gt;=Settings!$B$12,"Approaching","Not Yet")),"")),"")</f>
        <v/>
      </c>
      <c r="M137" s="30">
        <f>IFERROR(IF('Student Report'!$Z127&lt;&gt;"",IF('Student Report'!$Z127&gt;=Settings!$B$11,"Mastered",IF('Student Report'!$Z127&gt;=Settings!$B$12,"Approaching","Not Yet")),IF('Student Report'!$S127&lt;&gt;"",IF('Student Report'!$S127&gt;=Settings!$B$11,"Mastered",IF('Student Report'!$S127&gt;=Settings!$B$12,"Approaching","Not Yet")),"")),"")</f>
        <v/>
      </c>
      <c r="N137" s="30">
        <f>IFERROR(IF('Student Report'!$AA127&lt;&gt;"",IF('Student Report'!$AA127&gt;=Settings!$B$11,"Mastered",IF('Student Report'!$AA127&gt;=Settings!$B$12,"Approaching","Not Yet")),IF('Student Report'!$T127&lt;&gt;"",IF('Student Report'!$T127&gt;=Settings!$B$11,"Mastered",IF('Student Report'!$T127&gt;=Settings!$B$12,"Approaching","Not Yet")),"")),"")</f>
        <v/>
      </c>
      <c r="O137" s="30">
        <f>IFERROR(IF('Student Report'!$AB127&lt;&gt;"",IF('Student Report'!$AB127&gt;=Settings!$B$11,"Mastered",IF('Student Report'!$AB127&gt;=Settings!$B$12,"Approaching","Not Yet")),IF('Student Report'!$U127&lt;&gt;"",IF('Student Report'!$U127&gt;=Settings!$B$11,"Mastered",IF('Student Report'!$U127&gt;=Settings!$B$12,"Approaching","Not Yet")),"")),"")</f>
        <v/>
      </c>
    </row>
    <row r="138">
      <c r="A138" s="30">
        <f>'Student Report'!$A128</f>
        <v/>
      </c>
      <c r="B138" s="56">
        <f>'Student Report'!$B128</f>
        <v/>
      </c>
      <c r="C138" s="30">
        <f>'Student Report'!$C128</f>
        <v/>
      </c>
      <c r="D138" s="30">
        <f>'Student Report'!$G128</f>
        <v/>
      </c>
      <c r="E138" s="30">
        <f>'Student Report'!$I128</f>
        <v/>
      </c>
      <c r="F138" s="57">
        <f>'Student Report'!$AJ128</f>
        <v/>
      </c>
      <c r="G138" s="30">
        <f>'Student Report'!$AK128</f>
        <v/>
      </c>
      <c r="H138" s="30">
        <f>IF($B138="","",COUNTIF(I138:O138,"Not Yet"))</f>
        <v/>
      </c>
      <c r="I138" s="30">
        <f>IFERROR(IF('Student Report'!$V128&lt;&gt;"",IF('Student Report'!$V128&gt;=Settings!$B$11,"Mastered",IF('Student Report'!$V128&gt;=Settings!$B$12,"Approaching","Not Yet")),IF('Student Report'!$O128&lt;&gt;"",IF('Student Report'!$O128&gt;=Settings!$B$11,"Mastered",IF('Student Report'!$O128&gt;=Settings!$B$12,"Approaching","Not Yet")),"")),"")</f>
        <v/>
      </c>
      <c r="J138" s="30">
        <f>IFERROR(IF('Student Report'!$W128&lt;&gt;"",IF('Student Report'!$W128&gt;=Settings!$B$11,"Mastered",IF('Student Report'!$W128&gt;=Settings!$B$12,"Approaching","Not Yet")),IF('Student Report'!$P128&lt;&gt;"",IF('Student Report'!$P128&gt;=Settings!$B$11,"Mastered",IF('Student Report'!$P128&gt;=Settings!$B$12,"Approaching","Not Yet")),"")),"")</f>
        <v/>
      </c>
      <c r="K138" s="30">
        <f>IFERROR(IF('Student Report'!$X128&lt;&gt;"",IF('Student Report'!$X128&gt;=Settings!$B$11,"Mastered",IF('Student Report'!$X128&gt;=Settings!$B$12,"Approaching","Not Yet")),IF('Student Report'!$Q128&lt;&gt;"",IF('Student Report'!$Q128&gt;=Settings!$B$11,"Mastered",IF('Student Report'!$Q128&gt;=Settings!$B$12,"Approaching","Not Yet")),"")),"")</f>
        <v/>
      </c>
      <c r="L138" s="30">
        <f>IFERROR(IF('Student Report'!$Y128&lt;&gt;"",IF('Student Report'!$Y128&gt;=Settings!$B$11,"Mastered",IF('Student Report'!$Y128&gt;=Settings!$B$12,"Approaching","Not Yet")),IF('Student Report'!$R128&lt;&gt;"",IF('Student Report'!$R128&gt;=Settings!$B$11,"Mastered",IF('Student Report'!$R128&gt;=Settings!$B$12,"Approaching","Not Yet")),"")),"")</f>
        <v/>
      </c>
      <c r="M138" s="30">
        <f>IFERROR(IF('Student Report'!$Z128&lt;&gt;"",IF('Student Report'!$Z128&gt;=Settings!$B$11,"Mastered",IF('Student Report'!$Z128&gt;=Settings!$B$12,"Approaching","Not Yet")),IF('Student Report'!$S128&lt;&gt;"",IF('Student Report'!$S128&gt;=Settings!$B$11,"Mastered",IF('Student Report'!$S128&gt;=Settings!$B$12,"Approaching","Not Yet")),"")),"")</f>
        <v/>
      </c>
      <c r="N138" s="30">
        <f>IFERROR(IF('Student Report'!$AA128&lt;&gt;"",IF('Student Report'!$AA128&gt;=Settings!$B$11,"Mastered",IF('Student Report'!$AA128&gt;=Settings!$B$12,"Approaching","Not Yet")),IF('Student Report'!$T128&lt;&gt;"",IF('Student Report'!$T128&gt;=Settings!$B$11,"Mastered",IF('Student Report'!$T128&gt;=Settings!$B$12,"Approaching","Not Yet")),"")),"")</f>
        <v/>
      </c>
      <c r="O138" s="30">
        <f>IFERROR(IF('Student Report'!$AB128&lt;&gt;"",IF('Student Report'!$AB128&gt;=Settings!$B$11,"Mastered",IF('Student Report'!$AB128&gt;=Settings!$B$12,"Approaching","Not Yet")),IF('Student Report'!$U128&lt;&gt;"",IF('Student Report'!$U128&gt;=Settings!$B$11,"Mastered",IF('Student Report'!$U128&gt;=Settings!$B$12,"Approaching","Not Yet")),"")),"")</f>
        <v/>
      </c>
    </row>
    <row r="139">
      <c r="A139" s="30">
        <f>'Student Report'!$A129</f>
        <v/>
      </c>
      <c r="B139" s="56">
        <f>'Student Report'!$B129</f>
        <v/>
      </c>
      <c r="C139" s="30">
        <f>'Student Report'!$C129</f>
        <v/>
      </c>
      <c r="D139" s="30">
        <f>'Student Report'!$G129</f>
        <v/>
      </c>
      <c r="E139" s="30">
        <f>'Student Report'!$I129</f>
        <v/>
      </c>
      <c r="F139" s="57">
        <f>'Student Report'!$AJ129</f>
        <v/>
      </c>
      <c r="G139" s="30">
        <f>'Student Report'!$AK129</f>
        <v/>
      </c>
      <c r="H139" s="30">
        <f>IF($B139="","",COUNTIF(I139:O139,"Not Yet"))</f>
        <v/>
      </c>
      <c r="I139" s="30">
        <f>IFERROR(IF('Student Report'!$V129&lt;&gt;"",IF('Student Report'!$V129&gt;=Settings!$B$11,"Mastered",IF('Student Report'!$V129&gt;=Settings!$B$12,"Approaching","Not Yet")),IF('Student Report'!$O129&lt;&gt;"",IF('Student Report'!$O129&gt;=Settings!$B$11,"Mastered",IF('Student Report'!$O129&gt;=Settings!$B$12,"Approaching","Not Yet")),"")),"")</f>
        <v/>
      </c>
      <c r="J139" s="30">
        <f>IFERROR(IF('Student Report'!$W129&lt;&gt;"",IF('Student Report'!$W129&gt;=Settings!$B$11,"Mastered",IF('Student Report'!$W129&gt;=Settings!$B$12,"Approaching","Not Yet")),IF('Student Report'!$P129&lt;&gt;"",IF('Student Report'!$P129&gt;=Settings!$B$11,"Mastered",IF('Student Report'!$P129&gt;=Settings!$B$12,"Approaching","Not Yet")),"")),"")</f>
        <v/>
      </c>
      <c r="K139" s="30">
        <f>IFERROR(IF('Student Report'!$X129&lt;&gt;"",IF('Student Report'!$X129&gt;=Settings!$B$11,"Mastered",IF('Student Report'!$X129&gt;=Settings!$B$12,"Approaching","Not Yet")),IF('Student Report'!$Q129&lt;&gt;"",IF('Student Report'!$Q129&gt;=Settings!$B$11,"Mastered",IF('Student Report'!$Q129&gt;=Settings!$B$12,"Approaching","Not Yet")),"")),"")</f>
        <v/>
      </c>
      <c r="L139" s="30">
        <f>IFERROR(IF('Student Report'!$Y129&lt;&gt;"",IF('Student Report'!$Y129&gt;=Settings!$B$11,"Mastered",IF('Student Report'!$Y129&gt;=Settings!$B$12,"Approaching","Not Yet")),IF('Student Report'!$R129&lt;&gt;"",IF('Student Report'!$R129&gt;=Settings!$B$11,"Mastered",IF('Student Report'!$R129&gt;=Settings!$B$12,"Approaching","Not Yet")),"")),"")</f>
        <v/>
      </c>
      <c r="M139" s="30">
        <f>IFERROR(IF('Student Report'!$Z129&lt;&gt;"",IF('Student Report'!$Z129&gt;=Settings!$B$11,"Mastered",IF('Student Report'!$Z129&gt;=Settings!$B$12,"Approaching","Not Yet")),IF('Student Report'!$S129&lt;&gt;"",IF('Student Report'!$S129&gt;=Settings!$B$11,"Mastered",IF('Student Report'!$S129&gt;=Settings!$B$12,"Approaching","Not Yet")),"")),"")</f>
        <v/>
      </c>
      <c r="N139" s="30">
        <f>IFERROR(IF('Student Report'!$AA129&lt;&gt;"",IF('Student Report'!$AA129&gt;=Settings!$B$11,"Mastered",IF('Student Report'!$AA129&gt;=Settings!$B$12,"Approaching","Not Yet")),IF('Student Report'!$T129&lt;&gt;"",IF('Student Report'!$T129&gt;=Settings!$B$11,"Mastered",IF('Student Report'!$T129&gt;=Settings!$B$12,"Approaching","Not Yet")),"")),"")</f>
        <v/>
      </c>
      <c r="O139" s="30">
        <f>IFERROR(IF('Student Report'!$AB129&lt;&gt;"",IF('Student Report'!$AB129&gt;=Settings!$B$11,"Mastered",IF('Student Report'!$AB129&gt;=Settings!$B$12,"Approaching","Not Yet")),IF('Student Report'!$U129&lt;&gt;"",IF('Student Report'!$U129&gt;=Settings!$B$11,"Mastered",IF('Student Report'!$U129&gt;=Settings!$B$12,"Approaching","Not Yet")),"")),"")</f>
        <v/>
      </c>
    </row>
    <row r="140">
      <c r="A140" s="30">
        <f>'Student Report'!$A130</f>
        <v/>
      </c>
      <c r="B140" s="56">
        <f>'Student Report'!$B130</f>
        <v/>
      </c>
      <c r="C140" s="30">
        <f>'Student Report'!$C130</f>
        <v/>
      </c>
      <c r="D140" s="30">
        <f>'Student Report'!$G130</f>
        <v/>
      </c>
      <c r="E140" s="30">
        <f>'Student Report'!$I130</f>
        <v/>
      </c>
      <c r="F140" s="57">
        <f>'Student Report'!$AJ130</f>
        <v/>
      </c>
      <c r="G140" s="30">
        <f>'Student Report'!$AK130</f>
        <v/>
      </c>
      <c r="H140" s="30">
        <f>IF($B140="","",COUNTIF(I140:O140,"Not Yet"))</f>
        <v/>
      </c>
      <c r="I140" s="30">
        <f>IFERROR(IF('Student Report'!$V130&lt;&gt;"",IF('Student Report'!$V130&gt;=Settings!$B$11,"Mastered",IF('Student Report'!$V130&gt;=Settings!$B$12,"Approaching","Not Yet")),IF('Student Report'!$O130&lt;&gt;"",IF('Student Report'!$O130&gt;=Settings!$B$11,"Mastered",IF('Student Report'!$O130&gt;=Settings!$B$12,"Approaching","Not Yet")),"")),"")</f>
        <v/>
      </c>
      <c r="J140" s="30">
        <f>IFERROR(IF('Student Report'!$W130&lt;&gt;"",IF('Student Report'!$W130&gt;=Settings!$B$11,"Mastered",IF('Student Report'!$W130&gt;=Settings!$B$12,"Approaching","Not Yet")),IF('Student Report'!$P130&lt;&gt;"",IF('Student Report'!$P130&gt;=Settings!$B$11,"Mastered",IF('Student Report'!$P130&gt;=Settings!$B$12,"Approaching","Not Yet")),"")),"")</f>
        <v/>
      </c>
      <c r="K140" s="30">
        <f>IFERROR(IF('Student Report'!$X130&lt;&gt;"",IF('Student Report'!$X130&gt;=Settings!$B$11,"Mastered",IF('Student Report'!$X130&gt;=Settings!$B$12,"Approaching","Not Yet")),IF('Student Report'!$Q130&lt;&gt;"",IF('Student Report'!$Q130&gt;=Settings!$B$11,"Mastered",IF('Student Report'!$Q130&gt;=Settings!$B$12,"Approaching","Not Yet")),"")),"")</f>
        <v/>
      </c>
      <c r="L140" s="30">
        <f>IFERROR(IF('Student Report'!$Y130&lt;&gt;"",IF('Student Report'!$Y130&gt;=Settings!$B$11,"Mastered",IF('Student Report'!$Y130&gt;=Settings!$B$12,"Approaching","Not Yet")),IF('Student Report'!$R130&lt;&gt;"",IF('Student Report'!$R130&gt;=Settings!$B$11,"Mastered",IF('Student Report'!$R130&gt;=Settings!$B$12,"Approaching","Not Yet")),"")),"")</f>
        <v/>
      </c>
      <c r="M140" s="30">
        <f>IFERROR(IF('Student Report'!$Z130&lt;&gt;"",IF('Student Report'!$Z130&gt;=Settings!$B$11,"Mastered",IF('Student Report'!$Z130&gt;=Settings!$B$12,"Approaching","Not Yet")),IF('Student Report'!$S130&lt;&gt;"",IF('Student Report'!$S130&gt;=Settings!$B$11,"Mastered",IF('Student Report'!$S130&gt;=Settings!$B$12,"Approaching","Not Yet")),"")),"")</f>
        <v/>
      </c>
      <c r="N140" s="30">
        <f>IFERROR(IF('Student Report'!$AA130&lt;&gt;"",IF('Student Report'!$AA130&gt;=Settings!$B$11,"Mastered",IF('Student Report'!$AA130&gt;=Settings!$B$12,"Approaching","Not Yet")),IF('Student Report'!$T130&lt;&gt;"",IF('Student Report'!$T130&gt;=Settings!$B$11,"Mastered",IF('Student Report'!$T130&gt;=Settings!$B$12,"Approaching","Not Yet")),"")),"")</f>
        <v/>
      </c>
      <c r="O140" s="30">
        <f>IFERROR(IF('Student Report'!$AB130&lt;&gt;"",IF('Student Report'!$AB130&gt;=Settings!$B$11,"Mastered",IF('Student Report'!$AB130&gt;=Settings!$B$12,"Approaching","Not Yet")),IF('Student Report'!$U130&lt;&gt;"",IF('Student Report'!$U130&gt;=Settings!$B$11,"Mastered",IF('Student Report'!$U130&gt;=Settings!$B$12,"Approaching","Not Yet")),"")),"")</f>
        <v/>
      </c>
    </row>
    <row r="141">
      <c r="A141" s="30">
        <f>'Student Report'!$A131</f>
        <v/>
      </c>
      <c r="B141" s="56">
        <f>'Student Report'!$B131</f>
        <v/>
      </c>
      <c r="C141" s="30">
        <f>'Student Report'!$C131</f>
        <v/>
      </c>
      <c r="D141" s="30">
        <f>'Student Report'!$G131</f>
        <v/>
      </c>
      <c r="E141" s="30">
        <f>'Student Report'!$I131</f>
        <v/>
      </c>
      <c r="F141" s="57">
        <f>'Student Report'!$AJ131</f>
        <v/>
      </c>
      <c r="G141" s="30">
        <f>'Student Report'!$AK131</f>
        <v/>
      </c>
      <c r="H141" s="30">
        <f>IF($B141="","",COUNTIF(I141:O141,"Not Yet"))</f>
        <v/>
      </c>
      <c r="I141" s="30">
        <f>IFERROR(IF('Student Report'!$V131&lt;&gt;"",IF('Student Report'!$V131&gt;=Settings!$B$11,"Mastered",IF('Student Report'!$V131&gt;=Settings!$B$12,"Approaching","Not Yet")),IF('Student Report'!$O131&lt;&gt;"",IF('Student Report'!$O131&gt;=Settings!$B$11,"Mastered",IF('Student Report'!$O131&gt;=Settings!$B$12,"Approaching","Not Yet")),"")),"")</f>
        <v/>
      </c>
      <c r="J141" s="30">
        <f>IFERROR(IF('Student Report'!$W131&lt;&gt;"",IF('Student Report'!$W131&gt;=Settings!$B$11,"Mastered",IF('Student Report'!$W131&gt;=Settings!$B$12,"Approaching","Not Yet")),IF('Student Report'!$P131&lt;&gt;"",IF('Student Report'!$P131&gt;=Settings!$B$11,"Mastered",IF('Student Report'!$P131&gt;=Settings!$B$12,"Approaching","Not Yet")),"")),"")</f>
        <v/>
      </c>
      <c r="K141" s="30">
        <f>IFERROR(IF('Student Report'!$X131&lt;&gt;"",IF('Student Report'!$X131&gt;=Settings!$B$11,"Mastered",IF('Student Report'!$X131&gt;=Settings!$B$12,"Approaching","Not Yet")),IF('Student Report'!$Q131&lt;&gt;"",IF('Student Report'!$Q131&gt;=Settings!$B$11,"Mastered",IF('Student Report'!$Q131&gt;=Settings!$B$12,"Approaching","Not Yet")),"")),"")</f>
        <v/>
      </c>
      <c r="L141" s="30">
        <f>IFERROR(IF('Student Report'!$Y131&lt;&gt;"",IF('Student Report'!$Y131&gt;=Settings!$B$11,"Mastered",IF('Student Report'!$Y131&gt;=Settings!$B$12,"Approaching","Not Yet")),IF('Student Report'!$R131&lt;&gt;"",IF('Student Report'!$R131&gt;=Settings!$B$11,"Mastered",IF('Student Report'!$R131&gt;=Settings!$B$12,"Approaching","Not Yet")),"")),"")</f>
        <v/>
      </c>
      <c r="M141" s="30">
        <f>IFERROR(IF('Student Report'!$Z131&lt;&gt;"",IF('Student Report'!$Z131&gt;=Settings!$B$11,"Mastered",IF('Student Report'!$Z131&gt;=Settings!$B$12,"Approaching","Not Yet")),IF('Student Report'!$S131&lt;&gt;"",IF('Student Report'!$S131&gt;=Settings!$B$11,"Mastered",IF('Student Report'!$S131&gt;=Settings!$B$12,"Approaching","Not Yet")),"")),"")</f>
        <v/>
      </c>
      <c r="N141" s="30">
        <f>IFERROR(IF('Student Report'!$AA131&lt;&gt;"",IF('Student Report'!$AA131&gt;=Settings!$B$11,"Mastered",IF('Student Report'!$AA131&gt;=Settings!$B$12,"Approaching","Not Yet")),IF('Student Report'!$T131&lt;&gt;"",IF('Student Report'!$T131&gt;=Settings!$B$11,"Mastered",IF('Student Report'!$T131&gt;=Settings!$B$12,"Approaching","Not Yet")),"")),"")</f>
        <v/>
      </c>
      <c r="O141" s="30">
        <f>IFERROR(IF('Student Report'!$AB131&lt;&gt;"",IF('Student Report'!$AB131&gt;=Settings!$B$11,"Mastered",IF('Student Report'!$AB131&gt;=Settings!$B$12,"Approaching","Not Yet")),IF('Student Report'!$U131&lt;&gt;"",IF('Student Report'!$U131&gt;=Settings!$B$11,"Mastered",IF('Student Report'!$U131&gt;=Settings!$B$12,"Approaching","Not Yet")),"")),"")</f>
        <v/>
      </c>
    </row>
    <row r="142">
      <c r="A142" s="30">
        <f>'Student Report'!$A132</f>
        <v/>
      </c>
      <c r="B142" s="56">
        <f>'Student Report'!$B132</f>
        <v/>
      </c>
      <c r="C142" s="30">
        <f>'Student Report'!$C132</f>
        <v/>
      </c>
      <c r="D142" s="30">
        <f>'Student Report'!$G132</f>
        <v/>
      </c>
      <c r="E142" s="30">
        <f>'Student Report'!$I132</f>
        <v/>
      </c>
      <c r="F142" s="57">
        <f>'Student Report'!$AJ132</f>
        <v/>
      </c>
      <c r="G142" s="30">
        <f>'Student Report'!$AK132</f>
        <v/>
      </c>
      <c r="H142" s="30">
        <f>IF($B142="","",COUNTIF(I142:O142,"Not Yet"))</f>
        <v/>
      </c>
      <c r="I142" s="30">
        <f>IFERROR(IF('Student Report'!$V132&lt;&gt;"",IF('Student Report'!$V132&gt;=Settings!$B$11,"Mastered",IF('Student Report'!$V132&gt;=Settings!$B$12,"Approaching","Not Yet")),IF('Student Report'!$O132&lt;&gt;"",IF('Student Report'!$O132&gt;=Settings!$B$11,"Mastered",IF('Student Report'!$O132&gt;=Settings!$B$12,"Approaching","Not Yet")),"")),"")</f>
        <v/>
      </c>
      <c r="J142" s="30">
        <f>IFERROR(IF('Student Report'!$W132&lt;&gt;"",IF('Student Report'!$W132&gt;=Settings!$B$11,"Mastered",IF('Student Report'!$W132&gt;=Settings!$B$12,"Approaching","Not Yet")),IF('Student Report'!$P132&lt;&gt;"",IF('Student Report'!$P132&gt;=Settings!$B$11,"Mastered",IF('Student Report'!$P132&gt;=Settings!$B$12,"Approaching","Not Yet")),"")),"")</f>
        <v/>
      </c>
      <c r="K142" s="30">
        <f>IFERROR(IF('Student Report'!$X132&lt;&gt;"",IF('Student Report'!$X132&gt;=Settings!$B$11,"Mastered",IF('Student Report'!$X132&gt;=Settings!$B$12,"Approaching","Not Yet")),IF('Student Report'!$Q132&lt;&gt;"",IF('Student Report'!$Q132&gt;=Settings!$B$11,"Mastered",IF('Student Report'!$Q132&gt;=Settings!$B$12,"Approaching","Not Yet")),"")),"")</f>
        <v/>
      </c>
      <c r="L142" s="30">
        <f>IFERROR(IF('Student Report'!$Y132&lt;&gt;"",IF('Student Report'!$Y132&gt;=Settings!$B$11,"Mastered",IF('Student Report'!$Y132&gt;=Settings!$B$12,"Approaching","Not Yet")),IF('Student Report'!$R132&lt;&gt;"",IF('Student Report'!$R132&gt;=Settings!$B$11,"Mastered",IF('Student Report'!$R132&gt;=Settings!$B$12,"Approaching","Not Yet")),"")),"")</f>
        <v/>
      </c>
      <c r="M142" s="30">
        <f>IFERROR(IF('Student Report'!$Z132&lt;&gt;"",IF('Student Report'!$Z132&gt;=Settings!$B$11,"Mastered",IF('Student Report'!$Z132&gt;=Settings!$B$12,"Approaching","Not Yet")),IF('Student Report'!$S132&lt;&gt;"",IF('Student Report'!$S132&gt;=Settings!$B$11,"Mastered",IF('Student Report'!$S132&gt;=Settings!$B$12,"Approaching","Not Yet")),"")),"")</f>
        <v/>
      </c>
      <c r="N142" s="30">
        <f>IFERROR(IF('Student Report'!$AA132&lt;&gt;"",IF('Student Report'!$AA132&gt;=Settings!$B$11,"Mastered",IF('Student Report'!$AA132&gt;=Settings!$B$12,"Approaching","Not Yet")),IF('Student Report'!$T132&lt;&gt;"",IF('Student Report'!$T132&gt;=Settings!$B$11,"Mastered",IF('Student Report'!$T132&gt;=Settings!$B$12,"Approaching","Not Yet")),"")),"")</f>
        <v/>
      </c>
      <c r="O142" s="30">
        <f>IFERROR(IF('Student Report'!$AB132&lt;&gt;"",IF('Student Report'!$AB132&gt;=Settings!$B$11,"Mastered",IF('Student Report'!$AB132&gt;=Settings!$B$12,"Approaching","Not Yet")),IF('Student Report'!$U132&lt;&gt;"",IF('Student Report'!$U132&gt;=Settings!$B$11,"Mastered",IF('Student Report'!$U132&gt;=Settings!$B$12,"Approaching","Not Yet")),"")),"")</f>
        <v/>
      </c>
    </row>
    <row r="143">
      <c r="A143" s="30">
        <f>'Student Report'!$A133</f>
        <v/>
      </c>
      <c r="B143" s="56">
        <f>'Student Report'!$B133</f>
        <v/>
      </c>
      <c r="C143" s="30">
        <f>'Student Report'!$C133</f>
        <v/>
      </c>
      <c r="D143" s="30">
        <f>'Student Report'!$G133</f>
        <v/>
      </c>
      <c r="E143" s="30">
        <f>'Student Report'!$I133</f>
        <v/>
      </c>
      <c r="F143" s="57">
        <f>'Student Report'!$AJ133</f>
        <v/>
      </c>
      <c r="G143" s="30">
        <f>'Student Report'!$AK133</f>
        <v/>
      </c>
      <c r="H143" s="30">
        <f>IF($B143="","",COUNTIF(I143:O143,"Not Yet"))</f>
        <v/>
      </c>
      <c r="I143" s="30">
        <f>IFERROR(IF('Student Report'!$V133&lt;&gt;"",IF('Student Report'!$V133&gt;=Settings!$B$11,"Mastered",IF('Student Report'!$V133&gt;=Settings!$B$12,"Approaching","Not Yet")),IF('Student Report'!$O133&lt;&gt;"",IF('Student Report'!$O133&gt;=Settings!$B$11,"Mastered",IF('Student Report'!$O133&gt;=Settings!$B$12,"Approaching","Not Yet")),"")),"")</f>
        <v/>
      </c>
      <c r="J143" s="30">
        <f>IFERROR(IF('Student Report'!$W133&lt;&gt;"",IF('Student Report'!$W133&gt;=Settings!$B$11,"Mastered",IF('Student Report'!$W133&gt;=Settings!$B$12,"Approaching","Not Yet")),IF('Student Report'!$P133&lt;&gt;"",IF('Student Report'!$P133&gt;=Settings!$B$11,"Mastered",IF('Student Report'!$P133&gt;=Settings!$B$12,"Approaching","Not Yet")),"")),"")</f>
        <v/>
      </c>
      <c r="K143" s="30">
        <f>IFERROR(IF('Student Report'!$X133&lt;&gt;"",IF('Student Report'!$X133&gt;=Settings!$B$11,"Mastered",IF('Student Report'!$X133&gt;=Settings!$B$12,"Approaching","Not Yet")),IF('Student Report'!$Q133&lt;&gt;"",IF('Student Report'!$Q133&gt;=Settings!$B$11,"Mastered",IF('Student Report'!$Q133&gt;=Settings!$B$12,"Approaching","Not Yet")),"")),"")</f>
        <v/>
      </c>
      <c r="L143" s="30">
        <f>IFERROR(IF('Student Report'!$Y133&lt;&gt;"",IF('Student Report'!$Y133&gt;=Settings!$B$11,"Mastered",IF('Student Report'!$Y133&gt;=Settings!$B$12,"Approaching","Not Yet")),IF('Student Report'!$R133&lt;&gt;"",IF('Student Report'!$R133&gt;=Settings!$B$11,"Mastered",IF('Student Report'!$R133&gt;=Settings!$B$12,"Approaching","Not Yet")),"")),"")</f>
        <v/>
      </c>
      <c r="M143" s="30">
        <f>IFERROR(IF('Student Report'!$Z133&lt;&gt;"",IF('Student Report'!$Z133&gt;=Settings!$B$11,"Mastered",IF('Student Report'!$Z133&gt;=Settings!$B$12,"Approaching","Not Yet")),IF('Student Report'!$S133&lt;&gt;"",IF('Student Report'!$S133&gt;=Settings!$B$11,"Mastered",IF('Student Report'!$S133&gt;=Settings!$B$12,"Approaching","Not Yet")),"")),"")</f>
        <v/>
      </c>
      <c r="N143" s="30">
        <f>IFERROR(IF('Student Report'!$AA133&lt;&gt;"",IF('Student Report'!$AA133&gt;=Settings!$B$11,"Mastered",IF('Student Report'!$AA133&gt;=Settings!$B$12,"Approaching","Not Yet")),IF('Student Report'!$T133&lt;&gt;"",IF('Student Report'!$T133&gt;=Settings!$B$11,"Mastered",IF('Student Report'!$T133&gt;=Settings!$B$12,"Approaching","Not Yet")),"")),"")</f>
        <v/>
      </c>
      <c r="O143" s="30">
        <f>IFERROR(IF('Student Report'!$AB133&lt;&gt;"",IF('Student Report'!$AB133&gt;=Settings!$B$11,"Mastered",IF('Student Report'!$AB133&gt;=Settings!$B$12,"Approaching","Not Yet")),IF('Student Report'!$U133&lt;&gt;"",IF('Student Report'!$U133&gt;=Settings!$B$11,"Mastered",IF('Student Report'!$U133&gt;=Settings!$B$12,"Approaching","Not Yet")),"")),"")</f>
        <v/>
      </c>
    </row>
    <row r="144">
      <c r="A144" s="30">
        <f>'Student Report'!$A134</f>
        <v/>
      </c>
      <c r="B144" s="56">
        <f>'Student Report'!$B134</f>
        <v/>
      </c>
      <c r="C144" s="30">
        <f>'Student Report'!$C134</f>
        <v/>
      </c>
      <c r="D144" s="30">
        <f>'Student Report'!$G134</f>
        <v/>
      </c>
      <c r="E144" s="30">
        <f>'Student Report'!$I134</f>
        <v/>
      </c>
      <c r="F144" s="57">
        <f>'Student Report'!$AJ134</f>
        <v/>
      </c>
      <c r="G144" s="30">
        <f>'Student Report'!$AK134</f>
        <v/>
      </c>
      <c r="H144" s="30">
        <f>IF($B144="","",COUNTIF(I144:O144,"Not Yet"))</f>
        <v/>
      </c>
      <c r="I144" s="30">
        <f>IFERROR(IF('Student Report'!$V134&lt;&gt;"",IF('Student Report'!$V134&gt;=Settings!$B$11,"Mastered",IF('Student Report'!$V134&gt;=Settings!$B$12,"Approaching","Not Yet")),IF('Student Report'!$O134&lt;&gt;"",IF('Student Report'!$O134&gt;=Settings!$B$11,"Mastered",IF('Student Report'!$O134&gt;=Settings!$B$12,"Approaching","Not Yet")),"")),"")</f>
        <v/>
      </c>
      <c r="J144" s="30">
        <f>IFERROR(IF('Student Report'!$W134&lt;&gt;"",IF('Student Report'!$W134&gt;=Settings!$B$11,"Mastered",IF('Student Report'!$W134&gt;=Settings!$B$12,"Approaching","Not Yet")),IF('Student Report'!$P134&lt;&gt;"",IF('Student Report'!$P134&gt;=Settings!$B$11,"Mastered",IF('Student Report'!$P134&gt;=Settings!$B$12,"Approaching","Not Yet")),"")),"")</f>
        <v/>
      </c>
      <c r="K144" s="30">
        <f>IFERROR(IF('Student Report'!$X134&lt;&gt;"",IF('Student Report'!$X134&gt;=Settings!$B$11,"Mastered",IF('Student Report'!$X134&gt;=Settings!$B$12,"Approaching","Not Yet")),IF('Student Report'!$Q134&lt;&gt;"",IF('Student Report'!$Q134&gt;=Settings!$B$11,"Mastered",IF('Student Report'!$Q134&gt;=Settings!$B$12,"Approaching","Not Yet")),"")),"")</f>
        <v/>
      </c>
      <c r="L144" s="30">
        <f>IFERROR(IF('Student Report'!$Y134&lt;&gt;"",IF('Student Report'!$Y134&gt;=Settings!$B$11,"Mastered",IF('Student Report'!$Y134&gt;=Settings!$B$12,"Approaching","Not Yet")),IF('Student Report'!$R134&lt;&gt;"",IF('Student Report'!$R134&gt;=Settings!$B$11,"Mastered",IF('Student Report'!$R134&gt;=Settings!$B$12,"Approaching","Not Yet")),"")),"")</f>
        <v/>
      </c>
      <c r="M144" s="30">
        <f>IFERROR(IF('Student Report'!$Z134&lt;&gt;"",IF('Student Report'!$Z134&gt;=Settings!$B$11,"Mastered",IF('Student Report'!$Z134&gt;=Settings!$B$12,"Approaching","Not Yet")),IF('Student Report'!$S134&lt;&gt;"",IF('Student Report'!$S134&gt;=Settings!$B$11,"Mastered",IF('Student Report'!$S134&gt;=Settings!$B$12,"Approaching","Not Yet")),"")),"")</f>
        <v/>
      </c>
      <c r="N144" s="30">
        <f>IFERROR(IF('Student Report'!$AA134&lt;&gt;"",IF('Student Report'!$AA134&gt;=Settings!$B$11,"Mastered",IF('Student Report'!$AA134&gt;=Settings!$B$12,"Approaching","Not Yet")),IF('Student Report'!$T134&lt;&gt;"",IF('Student Report'!$T134&gt;=Settings!$B$11,"Mastered",IF('Student Report'!$T134&gt;=Settings!$B$12,"Approaching","Not Yet")),"")),"")</f>
        <v/>
      </c>
      <c r="O144" s="30">
        <f>IFERROR(IF('Student Report'!$AB134&lt;&gt;"",IF('Student Report'!$AB134&gt;=Settings!$B$11,"Mastered",IF('Student Report'!$AB134&gt;=Settings!$B$12,"Approaching","Not Yet")),IF('Student Report'!$U134&lt;&gt;"",IF('Student Report'!$U134&gt;=Settings!$B$11,"Mastered",IF('Student Report'!$U134&gt;=Settings!$B$12,"Approaching","Not Yet")),"")),"")</f>
        <v/>
      </c>
    </row>
    <row r="145">
      <c r="A145" s="30">
        <f>'Student Report'!$A135</f>
        <v/>
      </c>
      <c r="B145" s="56">
        <f>'Student Report'!$B135</f>
        <v/>
      </c>
      <c r="C145" s="30">
        <f>'Student Report'!$C135</f>
        <v/>
      </c>
      <c r="D145" s="30">
        <f>'Student Report'!$G135</f>
        <v/>
      </c>
      <c r="E145" s="30">
        <f>'Student Report'!$I135</f>
        <v/>
      </c>
      <c r="F145" s="57">
        <f>'Student Report'!$AJ135</f>
        <v/>
      </c>
      <c r="G145" s="30">
        <f>'Student Report'!$AK135</f>
        <v/>
      </c>
      <c r="H145" s="30">
        <f>IF($B145="","",COUNTIF(I145:O145,"Not Yet"))</f>
        <v/>
      </c>
      <c r="I145" s="30">
        <f>IFERROR(IF('Student Report'!$V135&lt;&gt;"",IF('Student Report'!$V135&gt;=Settings!$B$11,"Mastered",IF('Student Report'!$V135&gt;=Settings!$B$12,"Approaching","Not Yet")),IF('Student Report'!$O135&lt;&gt;"",IF('Student Report'!$O135&gt;=Settings!$B$11,"Mastered",IF('Student Report'!$O135&gt;=Settings!$B$12,"Approaching","Not Yet")),"")),"")</f>
        <v/>
      </c>
      <c r="J145" s="30">
        <f>IFERROR(IF('Student Report'!$W135&lt;&gt;"",IF('Student Report'!$W135&gt;=Settings!$B$11,"Mastered",IF('Student Report'!$W135&gt;=Settings!$B$12,"Approaching","Not Yet")),IF('Student Report'!$P135&lt;&gt;"",IF('Student Report'!$P135&gt;=Settings!$B$11,"Mastered",IF('Student Report'!$P135&gt;=Settings!$B$12,"Approaching","Not Yet")),"")),"")</f>
        <v/>
      </c>
      <c r="K145" s="30">
        <f>IFERROR(IF('Student Report'!$X135&lt;&gt;"",IF('Student Report'!$X135&gt;=Settings!$B$11,"Mastered",IF('Student Report'!$X135&gt;=Settings!$B$12,"Approaching","Not Yet")),IF('Student Report'!$Q135&lt;&gt;"",IF('Student Report'!$Q135&gt;=Settings!$B$11,"Mastered",IF('Student Report'!$Q135&gt;=Settings!$B$12,"Approaching","Not Yet")),"")),"")</f>
        <v/>
      </c>
      <c r="L145" s="30">
        <f>IFERROR(IF('Student Report'!$Y135&lt;&gt;"",IF('Student Report'!$Y135&gt;=Settings!$B$11,"Mastered",IF('Student Report'!$Y135&gt;=Settings!$B$12,"Approaching","Not Yet")),IF('Student Report'!$R135&lt;&gt;"",IF('Student Report'!$R135&gt;=Settings!$B$11,"Mastered",IF('Student Report'!$R135&gt;=Settings!$B$12,"Approaching","Not Yet")),"")),"")</f>
        <v/>
      </c>
      <c r="M145" s="30">
        <f>IFERROR(IF('Student Report'!$Z135&lt;&gt;"",IF('Student Report'!$Z135&gt;=Settings!$B$11,"Mastered",IF('Student Report'!$Z135&gt;=Settings!$B$12,"Approaching","Not Yet")),IF('Student Report'!$S135&lt;&gt;"",IF('Student Report'!$S135&gt;=Settings!$B$11,"Mastered",IF('Student Report'!$S135&gt;=Settings!$B$12,"Approaching","Not Yet")),"")),"")</f>
        <v/>
      </c>
      <c r="N145" s="30">
        <f>IFERROR(IF('Student Report'!$AA135&lt;&gt;"",IF('Student Report'!$AA135&gt;=Settings!$B$11,"Mastered",IF('Student Report'!$AA135&gt;=Settings!$B$12,"Approaching","Not Yet")),IF('Student Report'!$T135&lt;&gt;"",IF('Student Report'!$T135&gt;=Settings!$B$11,"Mastered",IF('Student Report'!$T135&gt;=Settings!$B$12,"Approaching","Not Yet")),"")),"")</f>
        <v/>
      </c>
      <c r="O145" s="30">
        <f>IFERROR(IF('Student Report'!$AB135&lt;&gt;"",IF('Student Report'!$AB135&gt;=Settings!$B$11,"Mastered",IF('Student Report'!$AB135&gt;=Settings!$B$12,"Approaching","Not Yet")),IF('Student Report'!$U135&lt;&gt;"",IF('Student Report'!$U135&gt;=Settings!$B$11,"Mastered",IF('Student Report'!$U135&gt;=Settings!$B$12,"Approaching","Not Yet")),"")),"")</f>
        <v/>
      </c>
    </row>
    <row r="146">
      <c r="A146" s="30">
        <f>'Student Report'!$A136</f>
        <v/>
      </c>
      <c r="B146" s="56">
        <f>'Student Report'!$B136</f>
        <v/>
      </c>
      <c r="C146" s="30">
        <f>'Student Report'!$C136</f>
        <v/>
      </c>
      <c r="D146" s="30">
        <f>'Student Report'!$G136</f>
        <v/>
      </c>
      <c r="E146" s="30">
        <f>'Student Report'!$I136</f>
        <v/>
      </c>
      <c r="F146" s="57">
        <f>'Student Report'!$AJ136</f>
        <v/>
      </c>
      <c r="G146" s="30">
        <f>'Student Report'!$AK136</f>
        <v/>
      </c>
      <c r="H146" s="30">
        <f>IF($B146="","",COUNTIF(I146:O146,"Not Yet"))</f>
        <v/>
      </c>
      <c r="I146" s="30">
        <f>IFERROR(IF('Student Report'!$V136&lt;&gt;"",IF('Student Report'!$V136&gt;=Settings!$B$11,"Mastered",IF('Student Report'!$V136&gt;=Settings!$B$12,"Approaching","Not Yet")),IF('Student Report'!$O136&lt;&gt;"",IF('Student Report'!$O136&gt;=Settings!$B$11,"Mastered",IF('Student Report'!$O136&gt;=Settings!$B$12,"Approaching","Not Yet")),"")),"")</f>
        <v/>
      </c>
      <c r="J146" s="30">
        <f>IFERROR(IF('Student Report'!$W136&lt;&gt;"",IF('Student Report'!$W136&gt;=Settings!$B$11,"Mastered",IF('Student Report'!$W136&gt;=Settings!$B$12,"Approaching","Not Yet")),IF('Student Report'!$P136&lt;&gt;"",IF('Student Report'!$P136&gt;=Settings!$B$11,"Mastered",IF('Student Report'!$P136&gt;=Settings!$B$12,"Approaching","Not Yet")),"")),"")</f>
        <v/>
      </c>
      <c r="K146" s="30">
        <f>IFERROR(IF('Student Report'!$X136&lt;&gt;"",IF('Student Report'!$X136&gt;=Settings!$B$11,"Mastered",IF('Student Report'!$X136&gt;=Settings!$B$12,"Approaching","Not Yet")),IF('Student Report'!$Q136&lt;&gt;"",IF('Student Report'!$Q136&gt;=Settings!$B$11,"Mastered",IF('Student Report'!$Q136&gt;=Settings!$B$12,"Approaching","Not Yet")),"")),"")</f>
        <v/>
      </c>
      <c r="L146" s="30">
        <f>IFERROR(IF('Student Report'!$Y136&lt;&gt;"",IF('Student Report'!$Y136&gt;=Settings!$B$11,"Mastered",IF('Student Report'!$Y136&gt;=Settings!$B$12,"Approaching","Not Yet")),IF('Student Report'!$R136&lt;&gt;"",IF('Student Report'!$R136&gt;=Settings!$B$11,"Mastered",IF('Student Report'!$R136&gt;=Settings!$B$12,"Approaching","Not Yet")),"")),"")</f>
        <v/>
      </c>
      <c r="M146" s="30">
        <f>IFERROR(IF('Student Report'!$Z136&lt;&gt;"",IF('Student Report'!$Z136&gt;=Settings!$B$11,"Mastered",IF('Student Report'!$Z136&gt;=Settings!$B$12,"Approaching","Not Yet")),IF('Student Report'!$S136&lt;&gt;"",IF('Student Report'!$S136&gt;=Settings!$B$11,"Mastered",IF('Student Report'!$S136&gt;=Settings!$B$12,"Approaching","Not Yet")),"")),"")</f>
        <v/>
      </c>
      <c r="N146" s="30">
        <f>IFERROR(IF('Student Report'!$AA136&lt;&gt;"",IF('Student Report'!$AA136&gt;=Settings!$B$11,"Mastered",IF('Student Report'!$AA136&gt;=Settings!$B$12,"Approaching","Not Yet")),IF('Student Report'!$T136&lt;&gt;"",IF('Student Report'!$T136&gt;=Settings!$B$11,"Mastered",IF('Student Report'!$T136&gt;=Settings!$B$12,"Approaching","Not Yet")),"")),"")</f>
        <v/>
      </c>
      <c r="O146" s="30">
        <f>IFERROR(IF('Student Report'!$AB136&lt;&gt;"",IF('Student Report'!$AB136&gt;=Settings!$B$11,"Mastered",IF('Student Report'!$AB136&gt;=Settings!$B$12,"Approaching","Not Yet")),IF('Student Report'!$U136&lt;&gt;"",IF('Student Report'!$U136&gt;=Settings!$B$11,"Mastered",IF('Student Report'!$U136&gt;=Settings!$B$12,"Approaching","Not Yet")),"")),"")</f>
        <v/>
      </c>
    </row>
    <row r="147">
      <c r="A147" s="30">
        <f>'Student Report'!$A137</f>
        <v/>
      </c>
      <c r="B147" s="56">
        <f>'Student Report'!$B137</f>
        <v/>
      </c>
      <c r="C147" s="30">
        <f>'Student Report'!$C137</f>
        <v/>
      </c>
      <c r="D147" s="30">
        <f>'Student Report'!$G137</f>
        <v/>
      </c>
      <c r="E147" s="30">
        <f>'Student Report'!$I137</f>
        <v/>
      </c>
      <c r="F147" s="57">
        <f>'Student Report'!$AJ137</f>
        <v/>
      </c>
      <c r="G147" s="30">
        <f>'Student Report'!$AK137</f>
        <v/>
      </c>
      <c r="H147" s="30">
        <f>IF($B147="","",COUNTIF(I147:O147,"Not Yet"))</f>
        <v/>
      </c>
      <c r="I147" s="30">
        <f>IFERROR(IF('Student Report'!$V137&lt;&gt;"",IF('Student Report'!$V137&gt;=Settings!$B$11,"Mastered",IF('Student Report'!$V137&gt;=Settings!$B$12,"Approaching","Not Yet")),IF('Student Report'!$O137&lt;&gt;"",IF('Student Report'!$O137&gt;=Settings!$B$11,"Mastered",IF('Student Report'!$O137&gt;=Settings!$B$12,"Approaching","Not Yet")),"")),"")</f>
        <v/>
      </c>
      <c r="J147" s="30">
        <f>IFERROR(IF('Student Report'!$W137&lt;&gt;"",IF('Student Report'!$W137&gt;=Settings!$B$11,"Mastered",IF('Student Report'!$W137&gt;=Settings!$B$12,"Approaching","Not Yet")),IF('Student Report'!$P137&lt;&gt;"",IF('Student Report'!$P137&gt;=Settings!$B$11,"Mastered",IF('Student Report'!$P137&gt;=Settings!$B$12,"Approaching","Not Yet")),"")),"")</f>
        <v/>
      </c>
      <c r="K147" s="30">
        <f>IFERROR(IF('Student Report'!$X137&lt;&gt;"",IF('Student Report'!$X137&gt;=Settings!$B$11,"Mastered",IF('Student Report'!$X137&gt;=Settings!$B$12,"Approaching","Not Yet")),IF('Student Report'!$Q137&lt;&gt;"",IF('Student Report'!$Q137&gt;=Settings!$B$11,"Mastered",IF('Student Report'!$Q137&gt;=Settings!$B$12,"Approaching","Not Yet")),"")),"")</f>
        <v/>
      </c>
      <c r="L147" s="30">
        <f>IFERROR(IF('Student Report'!$Y137&lt;&gt;"",IF('Student Report'!$Y137&gt;=Settings!$B$11,"Mastered",IF('Student Report'!$Y137&gt;=Settings!$B$12,"Approaching","Not Yet")),IF('Student Report'!$R137&lt;&gt;"",IF('Student Report'!$R137&gt;=Settings!$B$11,"Mastered",IF('Student Report'!$R137&gt;=Settings!$B$12,"Approaching","Not Yet")),"")),"")</f>
        <v/>
      </c>
      <c r="M147" s="30">
        <f>IFERROR(IF('Student Report'!$Z137&lt;&gt;"",IF('Student Report'!$Z137&gt;=Settings!$B$11,"Mastered",IF('Student Report'!$Z137&gt;=Settings!$B$12,"Approaching","Not Yet")),IF('Student Report'!$S137&lt;&gt;"",IF('Student Report'!$S137&gt;=Settings!$B$11,"Mastered",IF('Student Report'!$S137&gt;=Settings!$B$12,"Approaching","Not Yet")),"")),"")</f>
        <v/>
      </c>
      <c r="N147" s="30">
        <f>IFERROR(IF('Student Report'!$AA137&lt;&gt;"",IF('Student Report'!$AA137&gt;=Settings!$B$11,"Mastered",IF('Student Report'!$AA137&gt;=Settings!$B$12,"Approaching","Not Yet")),IF('Student Report'!$T137&lt;&gt;"",IF('Student Report'!$T137&gt;=Settings!$B$11,"Mastered",IF('Student Report'!$T137&gt;=Settings!$B$12,"Approaching","Not Yet")),"")),"")</f>
        <v/>
      </c>
      <c r="O147" s="30">
        <f>IFERROR(IF('Student Report'!$AB137&lt;&gt;"",IF('Student Report'!$AB137&gt;=Settings!$B$11,"Mastered",IF('Student Report'!$AB137&gt;=Settings!$B$12,"Approaching","Not Yet")),IF('Student Report'!$U137&lt;&gt;"",IF('Student Report'!$U137&gt;=Settings!$B$11,"Mastered",IF('Student Report'!$U137&gt;=Settings!$B$12,"Approaching","Not Yet")),"")),"")</f>
        <v/>
      </c>
    </row>
    <row r="148">
      <c r="A148" s="30">
        <f>'Student Report'!$A138</f>
        <v/>
      </c>
      <c r="B148" s="56">
        <f>'Student Report'!$B138</f>
        <v/>
      </c>
      <c r="C148" s="30">
        <f>'Student Report'!$C138</f>
        <v/>
      </c>
      <c r="D148" s="30">
        <f>'Student Report'!$G138</f>
        <v/>
      </c>
      <c r="E148" s="30">
        <f>'Student Report'!$I138</f>
        <v/>
      </c>
      <c r="F148" s="57">
        <f>'Student Report'!$AJ138</f>
        <v/>
      </c>
      <c r="G148" s="30">
        <f>'Student Report'!$AK138</f>
        <v/>
      </c>
      <c r="H148" s="30">
        <f>IF($B148="","",COUNTIF(I148:O148,"Not Yet"))</f>
        <v/>
      </c>
      <c r="I148" s="30">
        <f>IFERROR(IF('Student Report'!$V138&lt;&gt;"",IF('Student Report'!$V138&gt;=Settings!$B$11,"Mastered",IF('Student Report'!$V138&gt;=Settings!$B$12,"Approaching","Not Yet")),IF('Student Report'!$O138&lt;&gt;"",IF('Student Report'!$O138&gt;=Settings!$B$11,"Mastered",IF('Student Report'!$O138&gt;=Settings!$B$12,"Approaching","Not Yet")),"")),"")</f>
        <v/>
      </c>
      <c r="J148" s="30">
        <f>IFERROR(IF('Student Report'!$W138&lt;&gt;"",IF('Student Report'!$W138&gt;=Settings!$B$11,"Mastered",IF('Student Report'!$W138&gt;=Settings!$B$12,"Approaching","Not Yet")),IF('Student Report'!$P138&lt;&gt;"",IF('Student Report'!$P138&gt;=Settings!$B$11,"Mastered",IF('Student Report'!$P138&gt;=Settings!$B$12,"Approaching","Not Yet")),"")),"")</f>
        <v/>
      </c>
      <c r="K148" s="30">
        <f>IFERROR(IF('Student Report'!$X138&lt;&gt;"",IF('Student Report'!$X138&gt;=Settings!$B$11,"Mastered",IF('Student Report'!$X138&gt;=Settings!$B$12,"Approaching","Not Yet")),IF('Student Report'!$Q138&lt;&gt;"",IF('Student Report'!$Q138&gt;=Settings!$B$11,"Mastered",IF('Student Report'!$Q138&gt;=Settings!$B$12,"Approaching","Not Yet")),"")),"")</f>
        <v/>
      </c>
      <c r="L148" s="30">
        <f>IFERROR(IF('Student Report'!$Y138&lt;&gt;"",IF('Student Report'!$Y138&gt;=Settings!$B$11,"Mastered",IF('Student Report'!$Y138&gt;=Settings!$B$12,"Approaching","Not Yet")),IF('Student Report'!$R138&lt;&gt;"",IF('Student Report'!$R138&gt;=Settings!$B$11,"Mastered",IF('Student Report'!$R138&gt;=Settings!$B$12,"Approaching","Not Yet")),"")),"")</f>
        <v/>
      </c>
      <c r="M148" s="30">
        <f>IFERROR(IF('Student Report'!$Z138&lt;&gt;"",IF('Student Report'!$Z138&gt;=Settings!$B$11,"Mastered",IF('Student Report'!$Z138&gt;=Settings!$B$12,"Approaching","Not Yet")),IF('Student Report'!$S138&lt;&gt;"",IF('Student Report'!$S138&gt;=Settings!$B$11,"Mastered",IF('Student Report'!$S138&gt;=Settings!$B$12,"Approaching","Not Yet")),"")),"")</f>
        <v/>
      </c>
      <c r="N148" s="30">
        <f>IFERROR(IF('Student Report'!$AA138&lt;&gt;"",IF('Student Report'!$AA138&gt;=Settings!$B$11,"Mastered",IF('Student Report'!$AA138&gt;=Settings!$B$12,"Approaching","Not Yet")),IF('Student Report'!$T138&lt;&gt;"",IF('Student Report'!$T138&gt;=Settings!$B$11,"Mastered",IF('Student Report'!$T138&gt;=Settings!$B$12,"Approaching","Not Yet")),"")),"")</f>
        <v/>
      </c>
      <c r="O148" s="30">
        <f>IFERROR(IF('Student Report'!$AB138&lt;&gt;"",IF('Student Report'!$AB138&gt;=Settings!$B$11,"Mastered",IF('Student Report'!$AB138&gt;=Settings!$B$12,"Approaching","Not Yet")),IF('Student Report'!$U138&lt;&gt;"",IF('Student Report'!$U138&gt;=Settings!$B$11,"Mastered",IF('Student Report'!$U138&gt;=Settings!$B$12,"Approaching","Not Yet")),"")),"")</f>
        <v/>
      </c>
    </row>
    <row r="149">
      <c r="A149" s="30">
        <f>'Student Report'!$A139</f>
        <v/>
      </c>
      <c r="B149" s="56">
        <f>'Student Report'!$B139</f>
        <v/>
      </c>
      <c r="C149" s="30">
        <f>'Student Report'!$C139</f>
        <v/>
      </c>
      <c r="D149" s="30">
        <f>'Student Report'!$G139</f>
        <v/>
      </c>
      <c r="E149" s="30">
        <f>'Student Report'!$I139</f>
        <v/>
      </c>
      <c r="F149" s="57">
        <f>'Student Report'!$AJ139</f>
        <v/>
      </c>
      <c r="G149" s="30">
        <f>'Student Report'!$AK139</f>
        <v/>
      </c>
      <c r="H149" s="30">
        <f>IF($B149="","",COUNTIF(I149:O149,"Not Yet"))</f>
        <v/>
      </c>
      <c r="I149" s="30">
        <f>IFERROR(IF('Student Report'!$V139&lt;&gt;"",IF('Student Report'!$V139&gt;=Settings!$B$11,"Mastered",IF('Student Report'!$V139&gt;=Settings!$B$12,"Approaching","Not Yet")),IF('Student Report'!$O139&lt;&gt;"",IF('Student Report'!$O139&gt;=Settings!$B$11,"Mastered",IF('Student Report'!$O139&gt;=Settings!$B$12,"Approaching","Not Yet")),"")),"")</f>
        <v/>
      </c>
      <c r="J149" s="30">
        <f>IFERROR(IF('Student Report'!$W139&lt;&gt;"",IF('Student Report'!$W139&gt;=Settings!$B$11,"Mastered",IF('Student Report'!$W139&gt;=Settings!$B$12,"Approaching","Not Yet")),IF('Student Report'!$P139&lt;&gt;"",IF('Student Report'!$P139&gt;=Settings!$B$11,"Mastered",IF('Student Report'!$P139&gt;=Settings!$B$12,"Approaching","Not Yet")),"")),"")</f>
        <v/>
      </c>
      <c r="K149" s="30">
        <f>IFERROR(IF('Student Report'!$X139&lt;&gt;"",IF('Student Report'!$X139&gt;=Settings!$B$11,"Mastered",IF('Student Report'!$X139&gt;=Settings!$B$12,"Approaching","Not Yet")),IF('Student Report'!$Q139&lt;&gt;"",IF('Student Report'!$Q139&gt;=Settings!$B$11,"Mastered",IF('Student Report'!$Q139&gt;=Settings!$B$12,"Approaching","Not Yet")),"")),"")</f>
        <v/>
      </c>
      <c r="L149" s="30">
        <f>IFERROR(IF('Student Report'!$Y139&lt;&gt;"",IF('Student Report'!$Y139&gt;=Settings!$B$11,"Mastered",IF('Student Report'!$Y139&gt;=Settings!$B$12,"Approaching","Not Yet")),IF('Student Report'!$R139&lt;&gt;"",IF('Student Report'!$R139&gt;=Settings!$B$11,"Mastered",IF('Student Report'!$R139&gt;=Settings!$B$12,"Approaching","Not Yet")),"")),"")</f>
        <v/>
      </c>
      <c r="M149" s="30">
        <f>IFERROR(IF('Student Report'!$Z139&lt;&gt;"",IF('Student Report'!$Z139&gt;=Settings!$B$11,"Mastered",IF('Student Report'!$Z139&gt;=Settings!$B$12,"Approaching","Not Yet")),IF('Student Report'!$S139&lt;&gt;"",IF('Student Report'!$S139&gt;=Settings!$B$11,"Mastered",IF('Student Report'!$S139&gt;=Settings!$B$12,"Approaching","Not Yet")),"")),"")</f>
        <v/>
      </c>
      <c r="N149" s="30">
        <f>IFERROR(IF('Student Report'!$AA139&lt;&gt;"",IF('Student Report'!$AA139&gt;=Settings!$B$11,"Mastered",IF('Student Report'!$AA139&gt;=Settings!$B$12,"Approaching","Not Yet")),IF('Student Report'!$T139&lt;&gt;"",IF('Student Report'!$T139&gt;=Settings!$B$11,"Mastered",IF('Student Report'!$T139&gt;=Settings!$B$12,"Approaching","Not Yet")),"")),"")</f>
        <v/>
      </c>
      <c r="O149" s="30">
        <f>IFERROR(IF('Student Report'!$AB139&lt;&gt;"",IF('Student Report'!$AB139&gt;=Settings!$B$11,"Mastered",IF('Student Report'!$AB139&gt;=Settings!$B$12,"Approaching","Not Yet")),IF('Student Report'!$U139&lt;&gt;"",IF('Student Report'!$U139&gt;=Settings!$B$11,"Mastered",IF('Student Report'!$U139&gt;=Settings!$B$12,"Approaching","Not Yet")),"")),"")</f>
        <v/>
      </c>
    </row>
    <row r="150">
      <c r="A150" s="30">
        <f>'Student Report'!$A140</f>
        <v/>
      </c>
      <c r="B150" s="56">
        <f>'Student Report'!$B140</f>
        <v/>
      </c>
      <c r="C150" s="30">
        <f>'Student Report'!$C140</f>
        <v/>
      </c>
      <c r="D150" s="30">
        <f>'Student Report'!$G140</f>
        <v/>
      </c>
      <c r="E150" s="30">
        <f>'Student Report'!$I140</f>
        <v/>
      </c>
      <c r="F150" s="57">
        <f>'Student Report'!$AJ140</f>
        <v/>
      </c>
      <c r="G150" s="30">
        <f>'Student Report'!$AK140</f>
        <v/>
      </c>
      <c r="H150" s="30">
        <f>IF($B150="","",COUNTIF(I150:O150,"Not Yet"))</f>
        <v/>
      </c>
      <c r="I150" s="30">
        <f>IFERROR(IF('Student Report'!$V140&lt;&gt;"",IF('Student Report'!$V140&gt;=Settings!$B$11,"Mastered",IF('Student Report'!$V140&gt;=Settings!$B$12,"Approaching","Not Yet")),IF('Student Report'!$O140&lt;&gt;"",IF('Student Report'!$O140&gt;=Settings!$B$11,"Mastered",IF('Student Report'!$O140&gt;=Settings!$B$12,"Approaching","Not Yet")),"")),"")</f>
        <v/>
      </c>
      <c r="J150" s="30">
        <f>IFERROR(IF('Student Report'!$W140&lt;&gt;"",IF('Student Report'!$W140&gt;=Settings!$B$11,"Mastered",IF('Student Report'!$W140&gt;=Settings!$B$12,"Approaching","Not Yet")),IF('Student Report'!$P140&lt;&gt;"",IF('Student Report'!$P140&gt;=Settings!$B$11,"Mastered",IF('Student Report'!$P140&gt;=Settings!$B$12,"Approaching","Not Yet")),"")),"")</f>
        <v/>
      </c>
      <c r="K150" s="30">
        <f>IFERROR(IF('Student Report'!$X140&lt;&gt;"",IF('Student Report'!$X140&gt;=Settings!$B$11,"Mastered",IF('Student Report'!$X140&gt;=Settings!$B$12,"Approaching","Not Yet")),IF('Student Report'!$Q140&lt;&gt;"",IF('Student Report'!$Q140&gt;=Settings!$B$11,"Mastered",IF('Student Report'!$Q140&gt;=Settings!$B$12,"Approaching","Not Yet")),"")),"")</f>
        <v/>
      </c>
      <c r="L150" s="30">
        <f>IFERROR(IF('Student Report'!$Y140&lt;&gt;"",IF('Student Report'!$Y140&gt;=Settings!$B$11,"Mastered",IF('Student Report'!$Y140&gt;=Settings!$B$12,"Approaching","Not Yet")),IF('Student Report'!$R140&lt;&gt;"",IF('Student Report'!$R140&gt;=Settings!$B$11,"Mastered",IF('Student Report'!$R140&gt;=Settings!$B$12,"Approaching","Not Yet")),"")),"")</f>
        <v/>
      </c>
      <c r="M150" s="30">
        <f>IFERROR(IF('Student Report'!$Z140&lt;&gt;"",IF('Student Report'!$Z140&gt;=Settings!$B$11,"Mastered",IF('Student Report'!$Z140&gt;=Settings!$B$12,"Approaching","Not Yet")),IF('Student Report'!$S140&lt;&gt;"",IF('Student Report'!$S140&gt;=Settings!$B$11,"Mastered",IF('Student Report'!$S140&gt;=Settings!$B$12,"Approaching","Not Yet")),"")),"")</f>
        <v/>
      </c>
      <c r="N150" s="30">
        <f>IFERROR(IF('Student Report'!$AA140&lt;&gt;"",IF('Student Report'!$AA140&gt;=Settings!$B$11,"Mastered",IF('Student Report'!$AA140&gt;=Settings!$B$12,"Approaching","Not Yet")),IF('Student Report'!$T140&lt;&gt;"",IF('Student Report'!$T140&gt;=Settings!$B$11,"Mastered",IF('Student Report'!$T140&gt;=Settings!$B$12,"Approaching","Not Yet")),"")),"")</f>
        <v/>
      </c>
      <c r="O150" s="30">
        <f>IFERROR(IF('Student Report'!$AB140&lt;&gt;"",IF('Student Report'!$AB140&gt;=Settings!$B$11,"Mastered",IF('Student Report'!$AB140&gt;=Settings!$B$12,"Approaching","Not Yet")),IF('Student Report'!$U140&lt;&gt;"",IF('Student Report'!$U140&gt;=Settings!$B$11,"Mastered",IF('Student Report'!$U140&gt;=Settings!$B$12,"Approaching","Not Yet")),"")),"")</f>
        <v/>
      </c>
    </row>
    <row r="151">
      <c r="A151" s="30">
        <f>'Student Report'!$A141</f>
        <v/>
      </c>
      <c r="B151" s="56">
        <f>'Student Report'!$B141</f>
        <v/>
      </c>
      <c r="C151" s="30">
        <f>'Student Report'!$C141</f>
        <v/>
      </c>
      <c r="D151" s="30">
        <f>'Student Report'!$G141</f>
        <v/>
      </c>
      <c r="E151" s="30">
        <f>'Student Report'!$I141</f>
        <v/>
      </c>
      <c r="F151" s="57">
        <f>'Student Report'!$AJ141</f>
        <v/>
      </c>
      <c r="G151" s="30">
        <f>'Student Report'!$AK141</f>
        <v/>
      </c>
      <c r="H151" s="30">
        <f>IF($B151="","",COUNTIF(I151:O151,"Not Yet"))</f>
        <v/>
      </c>
      <c r="I151" s="30">
        <f>IFERROR(IF('Student Report'!$V141&lt;&gt;"",IF('Student Report'!$V141&gt;=Settings!$B$11,"Mastered",IF('Student Report'!$V141&gt;=Settings!$B$12,"Approaching","Not Yet")),IF('Student Report'!$O141&lt;&gt;"",IF('Student Report'!$O141&gt;=Settings!$B$11,"Mastered",IF('Student Report'!$O141&gt;=Settings!$B$12,"Approaching","Not Yet")),"")),"")</f>
        <v/>
      </c>
      <c r="J151" s="30">
        <f>IFERROR(IF('Student Report'!$W141&lt;&gt;"",IF('Student Report'!$W141&gt;=Settings!$B$11,"Mastered",IF('Student Report'!$W141&gt;=Settings!$B$12,"Approaching","Not Yet")),IF('Student Report'!$P141&lt;&gt;"",IF('Student Report'!$P141&gt;=Settings!$B$11,"Mastered",IF('Student Report'!$P141&gt;=Settings!$B$12,"Approaching","Not Yet")),"")),"")</f>
        <v/>
      </c>
      <c r="K151" s="30">
        <f>IFERROR(IF('Student Report'!$X141&lt;&gt;"",IF('Student Report'!$X141&gt;=Settings!$B$11,"Mastered",IF('Student Report'!$X141&gt;=Settings!$B$12,"Approaching","Not Yet")),IF('Student Report'!$Q141&lt;&gt;"",IF('Student Report'!$Q141&gt;=Settings!$B$11,"Mastered",IF('Student Report'!$Q141&gt;=Settings!$B$12,"Approaching","Not Yet")),"")),"")</f>
        <v/>
      </c>
      <c r="L151" s="30">
        <f>IFERROR(IF('Student Report'!$Y141&lt;&gt;"",IF('Student Report'!$Y141&gt;=Settings!$B$11,"Mastered",IF('Student Report'!$Y141&gt;=Settings!$B$12,"Approaching","Not Yet")),IF('Student Report'!$R141&lt;&gt;"",IF('Student Report'!$R141&gt;=Settings!$B$11,"Mastered",IF('Student Report'!$R141&gt;=Settings!$B$12,"Approaching","Not Yet")),"")),"")</f>
        <v/>
      </c>
      <c r="M151" s="30">
        <f>IFERROR(IF('Student Report'!$Z141&lt;&gt;"",IF('Student Report'!$Z141&gt;=Settings!$B$11,"Mastered",IF('Student Report'!$Z141&gt;=Settings!$B$12,"Approaching","Not Yet")),IF('Student Report'!$S141&lt;&gt;"",IF('Student Report'!$S141&gt;=Settings!$B$11,"Mastered",IF('Student Report'!$S141&gt;=Settings!$B$12,"Approaching","Not Yet")),"")),"")</f>
        <v/>
      </c>
      <c r="N151" s="30">
        <f>IFERROR(IF('Student Report'!$AA141&lt;&gt;"",IF('Student Report'!$AA141&gt;=Settings!$B$11,"Mastered",IF('Student Report'!$AA141&gt;=Settings!$B$12,"Approaching","Not Yet")),IF('Student Report'!$T141&lt;&gt;"",IF('Student Report'!$T141&gt;=Settings!$B$11,"Mastered",IF('Student Report'!$T141&gt;=Settings!$B$12,"Approaching","Not Yet")),"")),"")</f>
        <v/>
      </c>
      <c r="O151" s="30">
        <f>IFERROR(IF('Student Report'!$AB141&lt;&gt;"",IF('Student Report'!$AB141&gt;=Settings!$B$11,"Mastered",IF('Student Report'!$AB141&gt;=Settings!$B$12,"Approaching","Not Yet")),IF('Student Report'!$U141&lt;&gt;"",IF('Student Report'!$U141&gt;=Settings!$B$11,"Mastered",IF('Student Report'!$U141&gt;=Settings!$B$12,"Approaching","Not Yet")),"")),"")</f>
        <v/>
      </c>
    </row>
    <row r="152">
      <c r="A152" s="30">
        <f>'Student Report'!$A142</f>
        <v/>
      </c>
      <c r="B152" s="56">
        <f>'Student Report'!$B142</f>
        <v/>
      </c>
      <c r="C152" s="30">
        <f>'Student Report'!$C142</f>
        <v/>
      </c>
      <c r="D152" s="30">
        <f>'Student Report'!$G142</f>
        <v/>
      </c>
      <c r="E152" s="30">
        <f>'Student Report'!$I142</f>
        <v/>
      </c>
      <c r="F152" s="57">
        <f>'Student Report'!$AJ142</f>
        <v/>
      </c>
      <c r="G152" s="30">
        <f>'Student Report'!$AK142</f>
        <v/>
      </c>
      <c r="H152" s="30">
        <f>IF($B152="","",COUNTIF(I152:O152,"Not Yet"))</f>
        <v/>
      </c>
      <c r="I152" s="30">
        <f>IFERROR(IF('Student Report'!$V142&lt;&gt;"",IF('Student Report'!$V142&gt;=Settings!$B$11,"Mastered",IF('Student Report'!$V142&gt;=Settings!$B$12,"Approaching","Not Yet")),IF('Student Report'!$O142&lt;&gt;"",IF('Student Report'!$O142&gt;=Settings!$B$11,"Mastered",IF('Student Report'!$O142&gt;=Settings!$B$12,"Approaching","Not Yet")),"")),"")</f>
        <v/>
      </c>
      <c r="J152" s="30">
        <f>IFERROR(IF('Student Report'!$W142&lt;&gt;"",IF('Student Report'!$W142&gt;=Settings!$B$11,"Mastered",IF('Student Report'!$W142&gt;=Settings!$B$12,"Approaching","Not Yet")),IF('Student Report'!$P142&lt;&gt;"",IF('Student Report'!$P142&gt;=Settings!$B$11,"Mastered",IF('Student Report'!$P142&gt;=Settings!$B$12,"Approaching","Not Yet")),"")),"")</f>
        <v/>
      </c>
      <c r="K152" s="30">
        <f>IFERROR(IF('Student Report'!$X142&lt;&gt;"",IF('Student Report'!$X142&gt;=Settings!$B$11,"Mastered",IF('Student Report'!$X142&gt;=Settings!$B$12,"Approaching","Not Yet")),IF('Student Report'!$Q142&lt;&gt;"",IF('Student Report'!$Q142&gt;=Settings!$B$11,"Mastered",IF('Student Report'!$Q142&gt;=Settings!$B$12,"Approaching","Not Yet")),"")),"")</f>
        <v/>
      </c>
      <c r="L152" s="30">
        <f>IFERROR(IF('Student Report'!$Y142&lt;&gt;"",IF('Student Report'!$Y142&gt;=Settings!$B$11,"Mastered",IF('Student Report'!$Y142&gt;=Settings!$B$12,"Approaching","Not Yet")),IF('Student Report'!$R142&lt;&gt;"",IF('Student Report'!$R142&gt;=Settings!$B$11,"Mastered",IF('Student Report'!$R142&gt;=Settings!$B$12,"Approaching","Not Yet")),"")),"")</f>
        <v/>
      </c>
      <c r="M152" s="30">
        <f>IFERROR(IF('Student Report'!$Z142&lt;&gt;"",IF('Student Report'!$Z142&gt;=Settings!$B$11,"Mastered",IF('Student Report'!$Z142&gt;=Settings!$B$12,"Approaching","Not Yet")),IF('Student Report'!$S142&lt;&gt;"",IF('Student Report'!$S142&gt;=Settings!$B$11,"Mastered",IF('Student Report'!$S142&gt;=Settings!$B$12,"Approaching","Not Yet")),"")),"")</f>
        <v/>
      </c>
      <c r="N152" s="30">
        <f>IFERROR(IF('Student Report'!$AA142&lt;&gt;"",IF('Student Report'!$AA142&gt;=Settings!$B$11,"Mastered",IF('Student Report'!$AA142&gt;=Settings!$B$12,"Approaching","Not Yet")),IF('Student Report'!$T142&lt;&gt;"",IF('Student Report'!$T142&gt;=Settings!$B$11,"Mastered",IF('Student Report'!$T142&gt;=Settings!$B$12,"Approaching","Not Yet")),"")),"")</f>
        <v/>
      </c>
      <c r="O152" s="30">
        <f>IFERROR(IF('Student Report'!$AB142&lt;&gt;"",IF('Student Report'!$AB142&gt;=Settings!$B$11,"Mastered",IF('Student Report'!$AB142&gt;=Settings!$B$12,"Approaching","Not Yet")),IF('Student Report'!$U142&lt;&gt;"",IF('Student Report'!$U142&gt;=Settings!$B$11,"Mastered",IF('Student Report'!$U142&gt;=Settings!$B$12,"Approaching","Not Yet")),"")),"")</f>
        <v/>
      </c>
    </row>
    <row r="153">
      <c r="A153" s="30">
        <f>'Student Report'!$A143</f>
        <v/>
      </c>
      <c r="B153" s="56">
        <f>'Student Report'!$B143</f>
        <v/>
      </c>
      <c r="C153" s="30">
        <f>'Student Report'!$C143</f>
        <v/>
      </c>
      <c r="D153" s="30">
        <f>'Student Report'!$G143</f>
        <v/>
      </c>
      <c r="E153" s="30">
        <f>'Student Report'!$I143</f>
        <v/>
      </c>
      <c r="F153" s="57">
        <f>'Student Report'!$AJ143</f>
        <v/>
      </c>
      <c r="G153" s="30">
        <f>'Student Report'!$AK143</f>
        <v/>
      </c>
      <c r="H153" s="30">
        <f>IF($B153="","",COUNTIF(I153:O153,"Not Yet"))</f>
        <v/>
      </c>
      <c r="I153" s="30">
        <f>IFERROR(IF('Student Report'!$V143&lt;&gt;"",IF('Student Report'!$V143&gt;=Settings!$B$11,"Mastered",IF('Student Report'!$V143&gt;=Settings!$B$12,"Approaching","Not Yet")),IF('Student Report'!$O143&lt;&gt;"",IF('Student Report'!$O143&gt;=Settings!$B$11,"Mastered",IF('Student Report'!$O143&gt;=Settings!$B$12,"Approaching","Not Yet")),"")),"")</f>
        <v/>
      </c>
      <c r="J153" s="30">
        <f>IFERROR(IF('Student Report'!$W143&lt;&gt;"",IF('Student Report'!$W143&gt;=Settings!$B$11,"Mastered",IF('Student Report'!$W143&gt;=Settings!$B$12,"Approaching","Not Yet")),IF('Student Report'!$P143&lt;&gt;"",IF('Student Report'!$P143&gt;=Settings!$B$11,"Mastered",IF('Student Report'!$P143&gt;=Settings!$B$12,"Approaching","Not Yet")),"")),"")</f>
        <v/>
      </c>
      <c r="K153" s="30">
        <f>IFERROR(IF('Student Report'!$X143&lt;&gt;"",IF('Student Report'!$X143&gt;=Settings!$B$11,"Mastered",IF('Student Report'!$X143&gt;=Settings!$B$12,"Approaching","Not Yet")),IF('Student Report'!$Q143&lt;&gt;"",IF('Student Report'!$Q143&gt;=Settings!$B$11,"Mastered",IF('Student Report'!$Q143&gt;=Settings!$B$12,"Approaching","Not Yet")),"")),"")</f>
        <v/>
      </c>
      <c r="L153" s="30">
        <f>IFERROR(IF('Student Report'!$Y143&lt;&gt;"",IF('Student Report'!$Y143&gt;=Settings!$B$11,"Mastered",IF('Student Report'!$Y143&gt;=Settings!$B$12,"Approaching","Not Yet")),IF('Student Report'!$R143&lt;&gt;"",IF('Student Report'!$R143&gt;=Settings!$B$11,"Mastered",IF('Student Report'!$R143&gt;=Settings!$B$12,"Approaching","Not Yet")),"")),"")</f>
        <v/>
      </c>
      <c r="M153" s="30">
        <f>IFERROR(IF('Student Report'!$Z143&lt;&gt;"",IF('Student Report'!$Z143&gt;=Settings!$B$11,"Mastered",IF('Student Report'!$Z143&gt;=Settings!$B$12,"Approaching","Not Yet")),IF('Student Report'!$S143&lt;&gt;"",IF('Student Report'!$S143&gt;=Settings!$B$11,"Mastered",IF('Student Report'!$S143&gt;=Settings!$B$12,"Approaching","Not Yet")),"")),"")</f>
        <v/>
      </c>
      <c r="N153" s="30">
        <f>IFERROR(IF('Student Report'!$AA143&lt;&gt;"",IF('Student Report'!$AA143&gt;=Settings!$B$11,"Mastered",IF('Student Report'!$AA143&gt;=Settings!$B$12,"Approaching","Not Yet")),IF('Student Report'!$T143&lt;&gt;"",IF('Student Report'!$T143&gt;=Settings!$B$11,"Mastered",IF('Student Report'!$T143&gt;=Settings!$B$12,"Approaching","Not Yet")),"")),"")</f>
        <v/>
      </c>
      <c r="O153" s="30">
        <f>IFERROR(IF('Student Report'!$AB143&lt;&gt;"",IF('Student Report'!$AB143&gt;=Settings!$B$11,"Mastered",IF('Student Report'!$AB143&gt;=Settings!$B$12,"Approaching","Not Yet")),IF('Student Report'!$U143&lt;&gt;"",IF('Student Report'!$U143&gt;=Settings!$B$11,"Mastered",IF('Student Report'!$U143&gt;=Settings!$B$12,"Approaching","Not Yet")),"")),"")</f>
        <v/>
      </c>
    </row>
    <row r="154">
      <c r="A154" s="30">
        <f>'Student Report'!$A144</f>
        <v/>
      </c>
      <c r="B154" s="56">
        <f>'Student Report'!$B144</f>
        <v/>
      </c>
      <c r="C154" s="30">
        <f>'Student Report'!$C144</f>
        <v/>
      </c>
      <c r="D154" s="30">
        <f>'Student Report'!$G144</f>
        <v/>
      </c>
      <c r="E154" s="30">
        <f>'Student Report'!$I144</f>
        <v/>
      </c>
      <c r="F154" s="57">
        <f>'Student Report'!$AJ144</f>
        <v/>
      </c>
      <c r="G154" s="30">
        <f>'Student Report'!$AK144</f>
        <v/>
      </c>
      <c r="H154" s="30">
        <f>IF($B154="","",COUNTIF(I154:O154,"Not Yet"))</f>
        <v/>
      </c>
      <c r="I154" s="30">
        <f>IFERROR(IF('Student Report'!$V144&lt;&gt;"",IF('Student Report'!$V144&gt;=Settings!$B$11,"Mastered",IF('Student Report'!$V144&gt;=Settings!$B$12,"Approaching","Not Yet")),IF('Student Report'!$O144&lt;&gt;"",IF('Student Report'!$O144&gt;=Settings!$B$11,"Mastered",IF('Student Report'!$O144&gt;=Settings!$B$12,"Approaching","Not Yet")),"")),"")</f>
        <v/>
      </c>
      <c r="J154" s="30">
        <f>IFERROR(IF('Student Report'!$W144&lt;&gt;"",IF('Student Report'!$W144&gt;=Settings!$B$11,"Mastered",IF('Student Report'!$W144&gt;=Settings!$B$12,"Approaching","Not Yet")),IF('Student Report'!$P144&lt;&gt;"",IF('Student Report'!$P144&gt;=Settings!$B$11,"Mastered",IF('Student Report'!$P144&gt;=Settings!$B$12,"Approaching","Not Yet")),"")),"")</f>
        <v/>
      </c>
      <c r="K154" s="30">
        <f>IFERROR(IF('Student Report'!$X144&lt;&gt;"",IF('Student Report'!$X144&gt;=Settings!$B$11,"Mastered",IF('Student Report'!$X144&gt;=Settings!$B$12,"Approaching","Not Yet")),IF('Student Report'!$Q144&lt;&gt;"",IF('Student Report'!$Q144&gt;=Settings!$B$11,"Mastered",IF('Student Report'!$Q144&gt;=Settings!$B$12,"Approaching","Not Yet")),"")),"")</f>
        <v/>
      </c>
      <c r="L154" s="30">
        <f>IFERROR(IF('Student Report'!$Y144&lt;&gt;"",IF('Student Report'!$Y144&gt;=Settings!$B$11,"Mastered",IF('Student Report'!$Y144&gt;=Settings!$B$12,"Approaching","Not Yet")),IF('Student Report'!$R144&lt;&gt;"",IF('Student Report'!$R144&gt;=Settings!$B$11,"Mastered",IF('Student Report'!$R144&gt;=Settings!$B$12,"Approaching","Not Yet")),"")),"")</f>
        <v/>
      </c>
      <c r="M154" s="30">
        <f>IFERROR(IF('Student Report'!$Z144&lt;&gt;"",IF('Student Report'!$Z144&gt;=Settings!$B$11,"Mastered",IF('Student Report'!$Z144&gt;=Settings!$B$12,"Approaching","Not Yet")),IF('Student Report'!$S144&lt;&gt;"",IF('Student Report'!$S144&gt;=Settings!$B$11,"Mastered",IF('Student Report'!$S144&gt;=Settings!$B$12,"Approaching","Not Yet")),"")),"")</f>
        <v/>
      </c>
      <c r="N154" s="30">
        <f>IFERROR(IF('Student Report'!$AA144&lt;&gt;"",IF('Student Report'!$AA144&gt;=Settings!$B$11,"Mastered",IF('Student Report'!$AA144&gt;=Settings!$B$12,"Approaching","Not Yet")),IF('Student Report'!$T144&lt;&gt;"",IF('Student Report'!$T144&gt;=Settings!$B$11,"Mastered",IF('Student Report'!$T144&gt;=Settings!$B$12,"Approaching","Not Yet")),"")),"")</f>
        <v/>
      </c>
      <c r="O154" s="30">
        <f>IFERROR(IF('Student Report'!$AB144&lt;&gt;"",IF('Student Report'!$AB144&gt;=Settings!$B$11,"Mastered",IF('Student Report'!$AB144&gt;=Settings!$B$12,"Approaching","Not Yet")),IF('Student Report'!$U144&lt;&gt;"",IF('Student Report'!$U144&gt;=Settings!$B$11,"Mastered",IF('Student Report'!$U144&gt;=Settings!$B$12,"Approaching","Not Yet")),"")),"")</f>
        <v/>
      </c>
    </row>
    <row r="155">
      <c r="A155" s="30">
        <f>'Student Report'!$A145</f>
        <v/>
      </c>
      <c r="B155" s="56">
        <f>'Student Report'!$B145</f>
        <v/>
      </c>
      <c r="C155" s="30">
        <f>'Student Report'!$C145</f>
        <v/>
      </c>
      <c r="D155" s="30">
        <f>'Student Report'!$G145</f>
        <v/>
      </c>
      <c r="E155" s="30">
        <f>'Student Report'!$I145</f>
        <v/>
      </c>
      <c r="F155" s="57">
        <f>'Student Report'!$AJ145</f>
        <v/>
      </c>
      <c r="G155" s="30">
        <f>'Student Report'!$AK145</f>
        <v/>
      </c>
      <c r="H155" s="30">
        <f>IF($B155="","",COUNTIF(I155:O155,"Not Yet"))</f>
        <v/>
      </c>
      <c r="I155" s="30">
        <f>IFERROR(IF('Student Report'!$V145&lt;&gt;"",IF('Student Report'!$V145&gt;=Settings!$B$11,"Mastered",IF('Student Report'!$V145&gt;=Settings!$B$12,"Approaching","Not Yet")),IF('Student Report'!$O145&lt;&gt;"",IF('Student Report'!$O145&gt;=Settings!$B$11,"Mastered",IF('Student Report'!$O145&gt;=Settings!$B$12,"Approaching","Not Yet")),"")),"")</f>
        <v/>
      </c>
      <c r="J155" s="30">
        <f>IFERROR(IF('Student Report'!$W145&lt;&gt;"",IF('Student Report'!$W145&gt;=Settings!$B$11,"Mastered",IF('Student Report'!$W145&gt;=Settings!$B$12,"Approaching","Not Yet")),IF('Student Report'!$P145&lt;&gt;"",IF('Student Report'!$P145&gt;=Settings!$B$11,"Mastered",IF('Student Report'!$P145&gt;=Settings!$B$12,"Approaching","Not Yet")),"")),"")</f>
        <v/>
      </c>
      <c r="K155" s="30">
        <f>IFERROR(IF('Student Report'!$X145&lt;&gt;"",IF('Student Report'!$X145&gt;=Settings!$B$11,"Mastered",IF('Student Report'!$X145&gt;=Settings!$B$12,"Approaching","Not Yet")),IF('Student Report'!$Q145&lt;&gt;"",IF('Student Report'!$Q145&gt;=Settings!$B$11,"Mastered",IF('Student Report'!$Q145&gt;=Settings!$B$12,"Approaching","Not Yet")),"")),"")</f>
        <v/>
      </c>
      <c r="L155" s="30">
        <f>IFERROR(IF('Student Report'!$Y145&lt;&gt;"",IF('Student Report'!$Y145&gt;=Settings!$B$11,"Mastered",IF('Student Report'!$Y145&gt;=Settings!$B$12,"Approaching","Not Yet")),IF('Student Report'!$R145&lt;&gt;"",IF('Student Report'!$R145&gt;=Settings!$B$11,"Mastered",IF('Student Report'!$R145&gt;=Settings!$B$12,"Approaching","Not Yet")),"")),"")</f>
        <v/>
      </c>
      <c r="M155" s="30">
        <f>IFERROR(IF('Student Report'!$Z145&lt;&gt;"",IF('Student Report'!$Z145&gt;=Settings!$B$11,"Mastered",IF('Student Report'!$Z145&gt;=Settings!$B$12,"Approaching","Not Yet")),IF('Student Report'!$S145&lt;&gt;"",IF('Student Report'!$S145&gt;=Settings!$B$11,"Mastered",IF('Student Report'!$S145&gt;=Settings!$B$12,"Approaching","Not Yet")),"")),"")</f>
        <v/>
      </c>
      <c r="N155" s="30">
        <f>IFERROR(IF('Student Report'!$AA145&lt;&gt;"",IF('Student Report'!$AA145&gt;=Settings!$B$11,"Mastered",IF('Student Report'!$AA145&gt;=Settings!$B$12,"Approaching","Not Yet")),IF('Student Report'!$T145&lt;&gt;"",IF('Student Report'!$T145&gt;=Settings!$B$11,"Mastered",IF('Student Report'!$T145&gt;=Settings!$B$12,"Approaching","Not Yet")),"")),"")</f>
        <v/>
      </c>
      <c r="O155" s="30">
        <f>IFERROR(IF('Student Report'!$AB145&lt;&gt;"",IF('Student Report'!$AB145&gt;=Settings!$B$11,"Mastered",IF('Student Report'!$AB145&gt;=Settings!$B$12,"Approaching","Not Yet")),IF('Student Report'!$U145&lt;&gt;"",IF('Student Report'!$U145&gt;=Settings!$B$11,"Mastered",IF('Student Report'!$U145&gt;=Settings!$B$12,"Approaching","Not Yet")),"")),"")</f>
        <v/>
      </c>
    </row>
    <row r="156">
      <c r="A156" s="30">
        <f>'Student Report'!$A146</f>
        <v/>
      </c>
      <c r="B156" s="56">
        <f>'Student Report'!$B146</f>
        <v/>
      </c>
      <c r="C156" s="30">
        <f>'Student Report'!$C146</f>
        <v/>
      </c>
      <c r="D156" s="30">
        <f>'Student Report'!$G146</f>
        <v/>
      </c>
      <c r="E156" s="30">
        <f>'Student Report'!$I146</f>
        <v/>
      </c>
      <c r="F156" s="57">
        <f>'Student Report'!$AJ146</f>
        <v/>
      </c>
      <c r="G156" s="30">
        <f>'Student Report'!$AK146</f>
        <v/>
      </c>
      <c r="H156" s="30">
        <f>IF($B156="","",COUNTIF(I156:O156,"Not Yet"))</f>
        <v/>
      </c>
      <c r="I156" s="30">
        <f>IFERROR(IF('Student Report'!$V146&lt;&gt;"",IF('Student Report'!$V146&gt;=Settings!$B$11,"Mastered",IF('Student Report'!$V146&gt;=Settings!$B$12,"Approaching","Not Yet")),IF('Student Report'!$O146&lt;&gt;"",IF('Student Report'!$O146&gt;=Settings!$B$11,"Mastered",IF('Student Report'!$O146&gt;=Settings!$B$12,"Approaching","Not Yet")),"")),"")</f>
        <v/>
      </c>
      <c r="J156" s="30">
        <f>IFERROR(IF('Student Report'!$W146&lt;&gt;"",IF('Student Report'!$W146&gt;=Settings!$B$11,"Mastered",IF('Student Report'!$W146&gt;=Settings!$B$12,"Approaching","Not Yet")),IF('Student Report'!$P146&lt;&gt;"",IF('Student Report'!$P146&gt;=Settings!$B$11,"Mastered",IF('Student Report'!$P146&gt;=Settings!$B$12,"Approaching","Not Yet")),"")),"")</f>
        <v/>
      </c>
      <c r="K156" s="30">
        <f>IFERROR(IF('Student Report'!$X146&lt;&gt;"",IF('Student Report'!$X146&gt;=Settings!$B$11,"Mastered",IF('Student Report'!$X146&gt;=Settings!$B$12,"Approaching","Not Yet")),IF('Student Report'!$Q146&lt;&gt;"",IF('Student Report'!$Q146&gt;=Settings!$B$11,"Mastered",IF('Student Report'!$Q146&gt;=Settings!$B$12,"Approaching","Not Yet")),"")),"")</f>
        <v/>
      </c>
      <c r="L156" s="30">
        <f>IFERROR(IF('Student Report'!$Y146&lt;&gt;"",IF('Student Report'!$Y146&gt;=Settings!$B$11,"Mastered",IF('Student Report'!$Y146&gt;=Settings!$B$12,"Approaching","Not Yet")),IF('Student Report'!$R146&lt;&gt;"",IF('Student Report'!$R146&gt;=Settings!$B$11,"Mastered",IF('Student Report'!$R146&gt;=Settings!$B$12,"Approaching","Not Yet")),"")),"")</f>
        <v/>
      </c>
      <c r="M156" s="30">
        <f>IFERROR(IF('Student Report'!$Z146&lt;&gt;"",IF('Student Report'!$Z146&gt;=Settings!$B$11,"Mastered",IF('Student Report'!$Z146&gt;=Settings!$B$12,"Approaching","Not Yet")),IF('Student Report'!$S146&lt;&gt;"",IF('Student Report'!$S146&gt;=Settings!$B$11,"Mastered",IF('Student Report'!$S146&gt;=Settings!$B$12,"Approaching","Not Yet")),"")),"")</f>
        <v/>
      </c>
      <c r="N156" s="30">
        <f>IFERROR(IF('Student Report'!$AA146&lt;&gt;"",IF('Student Report'!$AA146&gt;=Settings!$B$11,"Mastered",IF('Student Report'!$AA146&gt;=Settings!$B$12,"Approaching","Not Yet")),IF('Student Report'!$T146&lt;&gt;"",IF('Student Report'!$T146&gt;=Settings!$B$11,"Mastered",IF('Student Report'!$T146&gt;=Settings!$B$12,"Approaching","Not Yet")),"")),"")</f>
        <v/>
      </c>
      <c r="O156" s="30">
        <f>IFERROR(IF('Student Report'!$AB146&lt;&gt;"",IF('Student Report'!$AB146&gt;=Settings!$B$11,"Mastered",IF('Student Report'!$AB146&gt;=Settings!$B$12,"Approaching","Not Yet")),IF('Student Report'!$U146&lt;&gt;"",IF('Student Report'!$U146&gt;=Settings!$B$11,"Mastered",IF('Student Report'!$U146&gt;=Settings!$B$12,"Approaching","Not Yet")),"")),"")</f>
        <v/>
      </c>
    </row>
    <row r="157">
      <c r="A157" s="30">
        <f>'Student Report'!$A147</f>
        <v/>
      </c>
      <c r="B157" s="56">
        <f>'Student Report'!$B147</f>
        <v/>
      </c>
      <c r="C157" s="30">
        <f>'Student Report'!$C147</f>
        <v/>
      </c>
      <c r="D157" s="30">
        <f>'Student Report'!$G147</f>
        <v/>
      </c>
      <c r="E157" s="30">
        <f>'Student Report'!$I147</f>
        <v/>
      </c>
      <c r="F157" s="57">
        <f>'Student Report'!$AJ147</f>
        <v/>
      </c>
      <c r="G157" s="30">
        <f>'Student Report'!$AK147</f>
        <v/>
      </c>
      <c r="H157" s="30">
        <f>IF($B157="","",COUNTIF(I157:O157,"Not Yet"))</f>
        <v/>
      </c>
      <c r="I157" s="30">
        <f>IFERROR(IF('Student Report'!$V147&lt;&gt;"",IF('Student Report'!$V147&gt;=Settings!$B$11,"Mastered",IF('Student Report'!$V147&gt;=Settings!$B$12,"Approaching","Not Yet")),IF('Student Report'!$O147&lt;&gt;"",IF('Student Report'!$O147&gt;=Settings!$B$11,"Mastered",IF('Student Report'!$O147&gt;=Settings!$B$12,"Approaching","Not Yet")),"")),"")</f>
        <v/>
      </c>
      <c r="J157" s="30">
        <f>IFERROR(IF('Student Report'!$W147&lt;&gt;"",IF('Student Report'!$W147&gt;=Settings!$B$11,"Mastered",IF('Student Report'!$W147&gt;=Settings!$B$12,"Approaching","Not Yet")),IF('Student Report'!$P147&lt;&gt;"",IF('Student Report'!$P147&gt;=Settings!$B$11,"Mastered",IF('Student Report'!$P147&gt;=Settings!$B$12,"Approaching","Not Yet")),"")),"")</f>
        <v/>
      </c>
      <c r="K157" s="30">
        <f>IFERROR(IF('Student Report'!$X147&lt;&gt;"",IF('Student Report'!$X147&gt;=Settings!$B$11,"Mastered",IF('Student Report'!$X147&gt;=Settings!$B$12,"Approaching","Not Yet")),IF('Student Report'!$Q147&lt;&gt;"",IF('Student Report'!$Q147&gt;=Settings!$B$11,"Mastered",IF('Student Report'!$Q147&gt;=Settings!$B$12,"Approaching","Not Yet")),"")),"")</f>
        <v/>
      </c>
      <c r="L157" s="30">
        <f>IFERROR(IF('Student Report'!$Y147&lt;&gt;"",IF('Student Report'!$Y147&gt;=Settings!$B$11,"Mastered",IF('Student Report'!$Y147&gt;=Settings!$B$12,"Approaching","Not Yet")),IF('Student Report'!$R147&lt;&gt;"",IF('Student Report'!$R147&gt;=Settings!$B$11,"Mastered",IF('Student Report'!$R147&gt;=Settings!$B$12,"Approaching","Not Yet")),"")),"")</f>
        <v/>
      </c>
      <c r="M157" s="30">
        <f>IFERROR(IF('Student Report'!$Z147&lt;&gt;"",IF('Student Report'!$Z147&gt;=Settings!$B$11,"Mastered",IF('Student Report'!$Z147&gt;=Settings!$B$12,"Approaching","Not Yet")),IF('Student Report'!$S147&lt;&gt;"",IF('Student Report'!$S147&gt;=Settings!$B$11,"Mastered",IF('Student Report'!$S147&gt;=Settings!$B$12,"Approaching","Not Yet")),"")),"")</f>
        <v/>
      </c>
      <c r="N157" s="30">
        <f>IFERROR(IF('Student Report'!$AA147&lt;&gt;"",IF('Student Report'!$AA147&gt;=Settings!$B$11,"Mastered",IF('Student Report'!$AA147&gt;=Settings!$B$12,"Approaching","Not Yet")),IF('Student Report'!$T147&lt;&gt;"",IF('Student Report'!$T147&gt;=Settings!$B$11,"Mastered",IF('Student Report'!$T147&gt;=Settings!$B$12,"Approaching","Not Yet")),"")),"")</f>
        <v/>
      </c>
      <c r="O157" s="30">
        <f>IFERROR(IF('Student Report'!$AB147&lt;&gt;"",IF('Student Report'!$AB147&gt;=Settings!$B$11,"Mastered",IF('Student Report'!$AB147&gt;=Settings!$B$12,"Approaching","Not Yet")),IF('Student Report'!$U147&lt;&gt;"",IF('Student Report'!$U147&gt;=Settings!$B$11,"Mastered",IF('Student Report'!$U147&gt;=Settings!$B$12,"Approaching","Not Yet")),"")),"")</f>
        <v/>
      </c>
    </row>
    <row r="158">
      <c r="A158" s="30">
        <f>'Student Report'!$A148</f>
        <v/>
      </c>
      <c r="B158" s="56">
        <f>'Student Report'!$B148</f>
        <v/>
      </c>
      <c r="C158" s="30">
        <f>'Student Report'!$C148</f>
        <v/>
      </c>
      <c r="D158" s="30">
        <f>'Student Report'!$G148</f>
        <v/>
      </c>
      <c r="E158" s="30">
        <f>'Student Report'!$I148</f>
        <v/>
      </c>
      <c r="F158" s="57">
        <f>'Student Report'!$AJ148</f>
        <v/>
      </c>
      <c r="G158" s="30">
        <f>'Student Report'!$AK148</f>
        <v/>
      </c>
      <c r="H158" s="30">
        <f>IF($B158="","",COUNTIF(I158:O158,"Not Yet"))</f>
        <v/>
      </c>
      <c r="I158" s="30">
        <f>IFERROR(IF('Student Report'!$V148&lt;&gt;"",IF('Student Report'!$V148&gt;=Settings!$B$11,"Mastered",IF('Student Report'!$V148&gt;=Settings!$B$12,"Approaching","Not Yet")),IF('Student Report'!$O148&lt;&gt;"",IF('Student Report'!$O148&gt;=Settings!$B$11,"Mastered",IF('Student Report'!$O148&gt;=Settings!$B$12,"Approaching","Not Yet")),"")),"")</f>
        <v/>
      </c>
      <c r="J158" s="30">
        <f>IFERROR(IF('Student Report'!$W148&lt;&gt;"",IF('Student Report'!$W148&gt;=Settings!$B$11,"Mastered",IF('Student Report'!$W148&gt;=Settings!$B$12,"Approaching","Not Yet")),IF('Student Report'!$P148&lt;&gt;"",IF('Student Report'!$P148&gt;=Settings!$B$11,"Mastered",IF('Student Report'!$P148&gt;=Settings!$B$12,"Approaching","Not Yet")),"")),"")</f>
        <v/>
      </c>
      <c r="K158" s="30">
        <f>IFERROR(IF('Student Report'!$X148&lt;&gt;"",IF('Student Report'!$X148&gt;=Settings!$B$11,"Mastered",IF('Student Report'!$X148&gt;=Settings!$B$12,"Approaching","Not Yet")),IF('Student Report'!$Q148&lt;&gt;"",IF('Student Report'!$Q148&gt;=Settings!$B$11,"Mastered",IF('Student Report'!$Q148&gt;=Settings!$B$12,"Approaching","Not Yet")),"")),"")</f>
        <v/>
      </c>
      <c r="L158" s="30">
        <f>IFERROR(IF('Student Report'!$Y148&lt;&gt;"",IF('Student Report'!$Y148&gt;=Settings!$B$11,"Mastered",IF('Student Report'!$Y148&gt;=Settings!$B$12,"Approaching","Not Yet")),IF('Student Report'!$R148&lt;&gt;"",IF('Student Report'!$R148&gt;=Settings!$B$11,"Mastered",IF('Student Report'!$R148&gt;=Settings!$B$12,"Approaching","Not Yet")),"")),"")</f>
        <v/>
      </c>
      <c r="M158" s="30">
        <f>IFERROR(IF('Student Report'!$Z148&lt;&gt;"",IF('Student Report'!$Z148&gt;=Settings!$B$11,"Mastered",IF('Student Report'!$Z148&gt;=Settings!$B$12,"Approaching","Not Yet")),IF('Student Report'!$S148&lt;&gt;"",IF('Student Report'!$S148&gt;=Settings!$B$11,"Mastered",IF('Student Report'!$S148&gt;=Settings!$B$12,"Approaching","Not Yet")),"")),"")</f>
        <v/>
      </c>
      <c r="N158" s="30">
        <f>IFERROR(IF('Student Report'!$AA148&lt;&gt;"",IF('Student Report'!$AA148&gt;=Settings!$B$11,"Mastered",IF('Student Report'!$AA148&gt;=Settings!$B$12,"Approaching","Not Yet")),IF('Student Report'!$T148&lt;&gt;"",IF('Student Report'!$T148&gt;=Settings!$B$11,"Mastered",IF('Student Report'!$T148&gt;=Settings!$B$12,"Approaching","Not Yet")),"")),"")</f>
        <v/>
      </c>
      <c r="O158" s="30">
        <f>IFERROR(IF('Student Report'!$AB148&lt;&gt;"",IF('Student Report'!$AB148&gt;=Settings!$B$11,"Mastered",IF('Student Report'!$AB148&gt;=Settings!$B$12,"Approaching","Not Yet")),IF('Student Report'!$U148&lt;&gt;"",IF('Student Report'!$U148&gt;=Settings!$B$11,"Mastered",IF('Student Report'!$U148&gt;=Settings!$B$12,"Approaching","Not Yet")),"")),"")</f>
        <v/>
      </c>
    </row>
    <row r="159">
      <c r="A159" s="30">
        <f>'Student Report'!$A149</f>
        <v/>
      </c>
      <c r="B159" s="56">
        <f>'Student Report'!$B149</f>
        <v/>
      </c>
      <c r="C159" s="30">
        <f>'Student Report'!$C149</f>
        <v/>
      </c>
      <c r="D159" s="30">
        <f>'Student Report'!$G149</f>
        <v/>
      </c>
      <c r="E159" s="30">
        <f>'Student Report'!$I149</f>
        <v/>
      </c>
      <c r="F159" s="57">
        <f>'Student Report'!$AJ149</f>
        <v/>
      </c>
      <c r="G159" s="30">
        <f>'Student Report'!$AK149</f>
        <v/>
      </c>
      <c r="H159" s="30">
        <f>IF($B159="","",COUNTIF(I159:O159,"Not Yet"))</f>
        <v/>
      </c>
      <c r="I159" s="30">
        <f>IFERROR(IF('Student Report'!$V149&lt;&gt;"",IF('Student Report'!$V149&gt;=Settings!$B$11,"Mastered",IF('Student Report'!$V149&gt;=Settings!$B$12,"Approaching","Not Yet")),IF('Student Report'!$O149&lt;&gt;"",IF('Student Report'!$O149&gt;=Settings!$B$11,"Mastered",IF('Student Report'!$O149&gt;=Settings!$B$12,"Approaching","Not Yet")),"")),"")</f>
        <v/>
      </c>
      <c r="J159" s="30">
        <f>IFERROR(IF('Student Report'!$W149&lt;&gt;"",IF('Student Report'!$W149&gt;=Settings!$B$11,"Mastered",IF('Student Report'!$W149&gt;=Settings!$B$12,"Approaching","Not Yet")),IF('Student Report'!$P149&lt;&gt;"",IF('Student Report'!$P149&gt;=Settings!$B$11,"Mastered",IF('Student Report'!$P149&gt;=Settings!$B$12,"Approaching","Not Yet")),"")),"")</f>
        <v/>
      </c>
      <c r="K159" s="30">
        <f>IFERROR(IF('Student Report'!$X149&lt;&gt;"",IF('Student Report'!$X149&gt;=Settings!$B$11,"Mastered",IF('Student Report'!$X149&gt;=Settings!$B$12,"Approaching","Not Yet")),IF('Student Report'!$Q149&lt;&gt;"",IF('Student Report'!$Q149&gt;=Settings!$B$11,"Mastered",IF('Student Report'!$Q149&gt;=Settings!$B$12,"Approaching","Not Yet")),"")),"")</f>
        <v/>
      </c>
      <c r="L159" s="30">
        <f>IFERROR(IF('Student Report'!$Y149&lt;&gt;"",IF('Student Report'!$Y149&gt;=Settings!$B$11,"Mastered",IF('Student Report'!$Y149&gt;=Settings!$B$12,"Approaching","Not Yet")),IF('Student Report'!$R149&lt;&gt;"",IF('Student Report'!$R149&gt;=Settings!$B$11,"Mastered",IF('Student Report'!$R149&gt;=Settings!$B$12,"Approaching","Not Yet")),"")),"")</f>
        <v/>
      </c>
      <c r="M159" s="30">
        <f>IFERROR(IF('Student Report'!$Z149&lt;&gt;"",IF('Student Report'!$Z149&gt;=Settings!$B$11,"Mastered",IF('Student Report'!$Z149&gt;=Settings!$B$12,"Approaching","Not Yet")),IF('Student Report'!$S149&lt;&gt;"",IF('Student Report'!$S149&gt;=Settings!$B$11,"Mastered",IF('Student Report'!$S149&gt;=Settings!$B$12,"Approaching","Not Yet")),"")),"")</f>
        <v/>
      </c>
      <c r="N159" s="30">
        <f>IFERROR(IF('Student Report'!$AA149&lt;&gt;"",IF('Student Report'!$AA149&gt;=Settings!$B$11,"Mastered",IF('Student Report'!$AA149&gt;=Settings!$B$12,"Approaching","Not Yet")),IF('Student Report'!$T149&lt;&gt;"",IF('Student Report'!$T149&gt;=Settings!$B$11,"Mastered",IF('Student Report'!$T149&gt;=Settings!$B$12,"Approaching","Not Yet")),"")),"")</f>
        <v/>
      </c>
      <c r="O159" s="30">
        <f>IFERROR(IF('Student Report'!$AB149&lt;&gt;"",IF('Student Report'!$AB149&gt;=Settings!$B$11,"Mastered",IF('Student Report'!$AB149&gt;=Settings!$B$12,"Approaching","Not Yet")),IF('Student Report'!$U149&lt;&gt;"",IF('Student Report'!$U149&gt;=Settings!$B$11,"Mastered",IF('Student Report'!$U149&gt;=Settings!$B$12,"Approaching","Not Yet")),"")),"")</f>
        <v/>
      </c>
    </row>
    <row r="160">
      <c r="A160" s="30">
        <f>'Student Report'!$A150</f>
        <v/>
      </c>
      <c r="B160" s="56">
        <f>'Student Report'!$B150</f>
        <v/>
      </c>
      <c r="C160" s="30">
        <f>'Student Report'!$C150</f>
        <v/>
      </c>
      <c r="D160" s="30">
        <f>'Student Report'!$G150</f>
        <v/>
      </c>
      <c r="E160" s="30">
        <f>'Student Report'!$I150</f>
        <v/>
      </c>
      <c r="F160" s="57">
        <f>'Student Report'!$AJ150</f>
        <v/>
      </c>
      <c r="G160" s="30">
        <f>'Student Report'!$AK150</f>
        <v/>
      </c>
      <c r="H160" s="30">
        <f>IF($B160="","",COUNTIF(I160:O160,"Not Yet"))</f>
        <v/>
      </c>
      <c r="I160" s="30">
        <f>IFERROR(IF('Student Report'!$V150&lt;&gt;"",IF('Student Report'!$V150&gt;=Settings!$B$11,"Mastered",IF('Student Report'!$V150&gt;=Settings!$B$12,"Approaching","Not Yet")),IF('Student Report'!$O150&lt;&gt;"",IF('Student Report'!$O150&gt;=Settings!$B$11,"Mastered",IF('Student Report'!$O150&gt;=Settings!$B$12,"Approaching","Not Yet")),"")),"")</f>
        <v/>
      </c>
      <c r="J160" s="30">
        <f>IFERROR(IF('Student Report'!$W150&lt;&gt;"",IF('Student Report'!$W150&gt;=Settings!$B$11,"Mastered",IF('Student Report'!$W150&gt;=Settings!$B$12,"Approaching","Not Yet")),IF('Student Report'!$P150&lt;&gt;"",IF('Student Report'!$P150&gt;=Settings!$B$11,"Mastered",IF('Student Report'!$P150&gt;=Settings!$B$12,"Approaching","Not Yet")),"")),"")</f>
        <v/>
      </c>
      <c r="K160" s="30">
        <f>IFERROR(IF('Student Report'!$X150&lt;&gt;"",IF('Student Report'!$X150&gt;=Settings!$B$11,"Mastered",IF('Student Report'!$X150&gt;=Settings!$B$12,"Approaching","Not Yet")),IF('Student Report'!$Q150&lt;&gt;"",IF('Student Report'!$Q150&gt;=Settings!$B$11,"Mastered",IF('Student Report'!$Q150&gt;=Settings!$B$12,"Approaching","Not Yet")),"")),"")</f>
        <v/>
      </c>
      <c r="L160" s="30">
        <f>IFERROR(IF('Student Report'!$Y150&lt;&gt;"",IF('Student Report'!$Y150&gt;=Settings!$B$11,"Mastered",IF('Student Report'!$Y150&gt;=Settings!$B$12,"Approaching","Not Yet")),IF('Student Report'!$R150&lt;&gt;"",IF('Student Report'!$R150&gt;=Settings!$B$11,"Mastered",IF('Student Report'!$R150&gt;=Settings!$B$12,"Approaching","Not Yet")),"")),"")</f>
        <v/>
      </c>
      <c r="M160" s="30">
        <f>IFERROR(IF('Student Report'!$Z150&lt;&gt;"",IF('Student Report'!$Z150&gt;=Settings!$B$11,"Mastered",IF('Student Report'!$Z150&gt;=Settings!$B$12,"Approaching","Not Yet")),IF('Student Report'!$S150&lt;&gt;"",IF('Student Report'!$S150&gt;=Settings!$B$11,"Mastered",IF('Student Report'!$S150&gt;=Settings!$B$12,"Approaching","Not Yet")),"")),"")</f>
        <v/>
      </c>
      <c r="N160" s="30">
        <f>IFERROR(IF('Student Report'!$AA150&lt;&gt;"",IF('Student Report'!$AA150&gt;=Settings!$B$11,"Mastered",IF('Student Report'!$AA150&gt;=Settings!$B$12,"Approaching","Not Yet")),IF('Student Report'!$T150&lt;&gt;"",IF('Student Report'!$T150&gt;=Settings!$B$11,"Mastered",IF('Student Report'!$T150&gt;=Settings!$B$12,"Approaching","Not Yet")),"")),"")</f>
        <v/>
      </c>
      <c r="O160" s="30">
        <f>IFERROR(IF('Student Report'!$AB150&lt;&gt;"",IF('Student Report'!$AB150&gt;=Settings!$B$11,"Mastered",IF('Student Report'!$AB150&gt;=Settings!$B$12,"Approaching","Not Yet")),IF('Student Report'!$U150&lt;&gt;"",IF('Student Report'!$U150&gt;=Settings!$B$11,"Mastered",IF('Student Report'!$U150&gt;=Settings!$B$12,"Approaching","Not Yet")),"")),"")</f>
        <v/>
      </c>
    </row>
    <row r="161">
      <c r="A161" s="30">
        <f>'Student Report'!$A151</f>
        <v/>
      </c>
      <c r="B161" s="56">
        <f>'Student Report'!$B151</f>
        <v/>
      </c>
      <c r="C161" s="30">
        <f>'Student Report'!$C151</f>
        <v/>
      </c>
      <c r="D161" s="30">
        <f>'Student Report'!$G151</f>
        <v/>
      </c>
      <c r="E161" s="30">
        <f>'Student Report'!$I151</f>
        <v/>
      </c>
      <c r="F161" s="57">
        <f>'Student Report'!$AJ151</f>
        <v/>
      </c>
      <c r="G161" s="30">
        <f>'Student Report'!$AK151</f>
        <v/>
      </c>
      <c r="H161" s="30">
        <f>IF($B161="","",COUNTIF(I161:O161,"Not Yet"))</f>
        <v/>
      </c>
      <c r="I161" s="30">
        <f>IFERROR(IF('Student Report'!$V151&lt;&gt;"",IF('Student Report'!$V151&gt;=Settings!$B$11,"Mastered",IF('Student Report'!$V151&gt;=Settings!$B$12,"Approaching","Not Yet")),IF('Student Report'!$O151&lt;&gt;"",IF('Student Report'!$O151&gt;=Settings!$B$11,"Mastered",IF('Student Report'!$O151&gt;=Settings!$B$12,"Approaching","Not Yet")),"")),"")</f>
        <v/>
      </c>
      <c r="J161" s="30">
        <f>IFERROR(IF('Student Report'!$W151&lt;&gt;"",IF('Student Report'!$W151&gt;=Settings!$B$11,"Mastered",IF('Student Report'!$W151&gt;=Settings!$B$12,"Approaching","Not Yet")),IF('Student Report'!$P151&lt;&gt;"",IF('Student Report'!$P151&gt;=Settings!$B$11,"Mastered",IF('Student Report'!$P151&gt;=Settings!$B$12,"Approaching","Not Yet")),"")),"")</f>
        <v/>
      </c>
      <c r="K161" s="30">
        <f>IFERROR(IF('Student Report'!$X151&lt;&gt;"",IF('Student Report'!$X151&gt;=Settings!$B$11,"Mastered",IF('Student Report'!$X151&gt;=Settings!$B$12,"Approaching","Not Yet")),IF('Student Report'!$Q151&lt;&gt;"",IF('Student Report'!$Q151&gt;=Settings!$B$11,"Mastered",IF('Student Report'!$Q151&gt;=Settings!$B$12,"Approaching","Not Yet")),"")),"")</f>
        <v/>
      </c>
      <c r="L161" s="30">
        <f>IFERROR(IF('Student Report'!$Y151&lt;&gt;"",IF('Student Report'!$Y151&gt;=Settings!$B$11,"Mastered",IF('Student Report'!$Y151&gt;=Settings!$B$12,"Approaching","Not Yet")),IF('Student Report'!$R151&lt;&gt;"",IF('Student Report'!$R151&gt;=Settings!$B$11,"Mastered",IF('Student Report'!$R151&gt;=Settings!$B$12,"Approaching","Not Yet")),"")),"")</f>
        <v/>
      </c>
      <c r="M161" s="30">
        <f>IFERROR(IF('Student Report'!$Z151&lt;&gt;"",IF('Student Report'!$Z151&gt;=Settings!$B$11,"Mastered",IF('Student Report'!$Z151&gt;=Settings!$B$12,"Approaching","Not Yet")),IF('Student Report'!$S151&lt;&gt;"",IF('Student Report'!$S151&gt;=Settings!$B$11,"Mastered",IF('Student Report'!$S151&gt;=Settings!$B$12,"Approaching","Not Yet")),"")),"")</f>
        <v/>
      </c>
      <c r="N161" s="30">
        <f>IFERROR(IF('Student Report'!$AA151&lt;&gt;"",IF('Student Report'!$AA151&gt;=Settings!$B$11,"Mastered",IF('Student Report'!$AA151&gt;=Settings!$B$12,"Approaching","Not Yet")),IF('Student Report'!$T151&lt;&gt;"",IF('Student Report'!$T151&gt;=Settings!$B$11,"Mastered",IF('Student Report'!$T151&gt;=Settings!$B$12,"Approaching","Not Yet")),"")),"")</f>
        <v/>
      </c>
      <c r="O161" s="30">
        <f>IFERROR(IF('Student Report'!$AB151&lt;&gt;"",IF('Student Report'!$AB151&gt;=Settings!$B$11,"Mastered",IF('Student Report'!$AB151&gt;=Settings!$B$12,"Approaching","Not Yet")),IF('Student Report'!$U151&lt;&gt;"",IF('Student Report'!$U151&gt;=Settings!$B$11,"Mastered",IF('Student Report'!$U151&gt;=Settings!$B$12,"Approaching","Not Yet")),"")),"")</f>
        <v/>
      </c>
    </row>
    <row r="162">
      <c r="A162" s="30">
        <f>'Student Report'!$A152</f>
        <v/>
      </c>
      <c r="B162" s="56">
        <f>'Student Report'!$B152</f>
        <v/>
      </c>
      <c r="C162" s="30">
        <f>'Student Report'!$C152</f>
        <v/>
      </c>
      <c r="D162" s="30">
        <f>'Student Report'!$G152</f>
        <v/>
      </c>
      <c r="E162" s="30">
        <f>'Student Report'!$I152</f>
        <v/>
      </c>
      <c r="F162" s="57">
        <f>'Student Report'!$AJ152</f>
        <v/>
      </c>
      <c r="G162" s="30">
        <f>'Student Report'!$AK152</f>
        <v/>
      </c>
      <c r="H162" s="30">
        <f>IF($B162="","",COUNTIF(I162:O162,"Not Yet"))</f>
        <v/>
      </c>
      <c r="I162" s="30">
        <f>IFERROR(IF('Student Report'!$V152&lt;&gt;"",IF('Student Report'!$V152&gt;=Settings!$B$11,"Mastered",IF('Student Report'!$V152&gt;=Settings!$B$12,"Approaching","Not Yet")),IF('Student Report'!$O152&lt;&gt;"",IF('Student Report'!$O152&gt;=Settings!$B$11,"Mastered",IF('Student Report'!$O152&gt;=Settings!$B$12,"Approaching","Not Yet")),"")),"")</f>
        <v/>
      </c>
      <c r="J162" s="30">
        <f>IFERROR(IF('Student Report'!$W152&lt;&gt;"",IF('Student Report'!$W152&gt;=Settings!$B$11,"Mastered",IF('Student Report'!$W152&gt;=Settings!$B$12,"Approaching","Not Yet")),IF('Student Report'!$P152&lt;&gt;"",IF('Student Report'!$P152&gt;=Settings!$B$11,"Mastered",IF('Student Report'!$P152&gt;=Settings!$B$12,"Approaching","Not Yet")),"")),"")</f>
        <v/>
      </c>
      <c r="K162" s="30">
        <f>IFERROR(IF('Student Report'!$X152&lt;&gt;"",IF('Student Report'!$X152&gt;=Settings!$B$11,"Mastered",IF('Student Report'!$X152&gt;=Settings!$B$12,"Approaching","Not Yet")),IF('Student Report'!$Q152&lt;&gt;"",IF('Student Report'!$Q152&gt;=Settings!$B$11,"Mastered",IF('Student Report'!$Q152&gt;=Settings!$B$12,"Approaching","Not Yet")),"")),"")</f>
        <v/>
      </c>
      <c r="L162" s="30">
        <f>IFERROR(IF('Student Report'!$Y152&lt;&gt;"",IF('Student Report'!$Y152&gt;=Settings!$B$11,"Mastered",IF('Student Report'!$Y152&gt;=Settings!$B$12,"Approaching","Not Yet")),IF('Student Report'!$R152&lt;&gt;"",IF('Student Report'!$R152&gt;=Settings!$B$11,"Mastered",IF('Student Report'!$R152&gt;=Settings!$B$12,"Approaching","Not Yet")),"")),"")</f>
        <v/>
      </c>
      <c r="M162" s="30">
        <f>IFERROR(IF('Student Report'!$Z152&lt;&gt;"",IF('Student Report'!$Z152&gt;=Settings!$B$11,"Mastered",IF('Student Report'!$Z152&gt;=Settings!$B$12,"Approaching","Not Yet")),IF('Student Report'!$S152&lt;&gt;"",IF('Student Report'!$S152&gt;=Settings!$B$11,"Mastered",IF('Student Report'!$S152&gt;=Settings!$B$12,"Approaching","Not Yet")),"")),"")</f>
        <v/>
      </c>
      <c r="N162" s="30">
        <f>IFERROR(IF('Student Report'!$AA152&lt;&gt;"",IF('Student Report'!$AA152&gt;=Settings!$B$11,"Mastered",IF('Student Report'!$AA152&gt;=Settings!$B$12,"Approaching","Not Yet")),IF('Student Report'!$T152&lt;&gt;"",IF('Student Report'!$T152&gt;=Settings!$B$11,"Mastered",IF('Student Report'!$T152&gt;=Settings!$B$12,"Approaching","Not Yet")),"")),"")</f>
        <v/>
      </c>
      <c r="O162" s="30">
        <f>IFERROR(IF('Student Report'!$AB152&lt;&gt;"",IF('Student Report'!$AB152&gt;=Settings!$B$11,"Mastered",IF('Student Report'!$AB152&gt;=Settings!$B$12,"Approaching","Not Yet")),IF('Student Report'!$U152&lt;&gt;"",IF('Student Report'!$U152&gt;=Settings!$B$11,"Mastered",IF('Student Report'!$U152&gt;=Settings!$B$12,"Approaching","Not Yet")),"")),"")</f>
        <v/>
      </c>
    </row>
    <row r="163">
      <c r="A163" s="30">
        <f>'Student Report'!$A153</f>
        <v/>
      </c>
      <c r="B163" s="56">
        <f>'Student Report'!$B153</f>
        <v/>
      </c>
      <c r="C163" s="30">
        <f>'Student Report'!$C153</f>
        <v/>
      </c>
      <c r="D163" s="30">
        <f>'Student Report'!$G153</f>
        <v/>
      </c>
      <c r="E163" s="30">
        <f>'Student Report'!$I153</f>
        <v/>
      </c>
      <c r="F163" s="57">
        <f>'Student Report'!$AJ153</f>
        <v/>
      </c>
      <c r="G163" s="30">
        <f>'Student Report'!$AK153</f>
        <v/>
      </c>
      <c r="H163" s="30">
        <f>IF($B163="","",COUNTIF(I163:O163,"Not Yet"))</f>
        <v/>
      </c>
      <c r="I163" s="30">
        <f>IFERROR(IF('Student Report'!$V153&lt;&gt;"",IF('Student Report'!$V153&gt;=Settings!$B$11,"Mastered",IF('Student Report'!$V153&gt;=Settings!$B$12,"Approaching","Not Yet")),IF('Student Report'!$O153&lt;&gt;"",IF('Student Report'!$O153&gt;=Settings!$B$11,"Mastered",IF('Student Report'!$O153&gt;=Settings!$B$12,"Approaching","Not Yet")),"")),"")</f>
        <v/>
      </c>
      <c r="J163" s="30">
        <f>IFERROR(IF('Student Report'!$W153&lt;&gt;"",IF('Student Report'!$W153&gt;=Settings!$B$11,"Mastered",IF('Student Report'!$W153&gt;=Settings!$B$12,"Approaching","Not Yet")),IF('Student Report'!$P153&lt;&gt;"",IF('Student Report'!$P153&gt;=Settings!$B$11,"Mastered",IF('Student Report'!$P153&gt;=Settings!$B$12,"Approaching","Not Yet")),"")),"")</f>
        <v/>
      </c>
      <c r="K163" s="30">
        <f>IFERROR(IF('Student Report'!$X153&lt;&gt;"",IF('Student Report'!$X153&gt;=Settings!$B$11,"Mastered",IF('Student Report'!$X153&gt;=Settings!$B$12,"Approaching","Not Yet")),IF('Student Report'!$Q153&lt;&gt;"",IF('Student Report'!$Q153&gt;=Settings!$B$11,"Mastered",IF('Student Report'!$Q153&gt;=Settings!$B$12,"Approaching","Not Yet")),"")),"")</f>
        <v/>
      </c>
      <c r="L163" s="30">
        <f>IFERROR(IF('Student Report'!$Y153&lt;&gt;"",IF('Student Report'!$Y153&gt;=Settings!$B$11,"Mastered",IF('Student Report'!$Y153&gt;=Settings!$B$12,"Approaching","Not Yet")),IF('Student Report'!$R153&lt;&gt;"",IF('Student Report'!$R153&gt;=Settings!$B$11,"Mastered",IF('Student Report'!$R153&gt;=Settings!$B$12,"Approaching","Not Yet")),"")),"")</f>
        <v/>
      </c>
      <c r="M163" s="30">
        <f>IFERROR(IF('Student Report'!$Z153&lt;&gt;"",IF('Student Report'!$Z153&gt;=Settings!$B$11,"Mastered",IF('Student Report'!$Z153&gt;=Settings!$B$12,"Approaching","Not Yet")),IF('Student Report'!$S153&lt;&gt;"",IF('Student Report'!$S153&gt;=Settings!$B$11,"Mastered",IF('Student Report'!$S153&gt;=Settings!$B$12,"Approaching","Not Yet")),"")),"")</f>
        <v/>
      </c>
      <c r="N163" s="30">
        <f>IFERROR(IF('Student Report'!$AA153&lt;&gt;"",IF('Student Report'!$AA153&gt;=Settings!$B$11,"Mastered",IF('Student Report'!$AA153&gt;=Settings!$B$12,"Approaching","Not Yet")),IF('Student Report'!$T153&lt;&gt;"",IF('Student Report'!$T153&gt;=Settings!$B$11,"Mastered",IF('Student Report'!$T153&gt;=Settings!$B$12,"Approaching","Not Yet")),"")),"")</f>
        <v/>
      </c>
      <c r="O163" s="30">
        <f>IFERROR(IF('Student Report'!$AB153&lt;&gt;"",IF('Student Report'!$AB153&gt;=Settings!$B$11,"Mastered",IF('Student Report'!$AB153&gt;=Settings!$B$12,"Approaching","Not Yet")),IF('Student Report'!$U153&lt;&gt;"",IF('Student Report'!$U153&gt;=Settings!$B$11,"Mastered",IF('Student Report'!$U153&gt;=Settings!$B$12,"Approaching","Not Yet")),"")),"")</f>
        <v/>
      </c>
    </row>
    <row r="164">
      <c r="A164" s="30">
        <f>'Student Report'!$A154</f>
        <v/>
      </c>
      <c r="B164" s="56">
        <f>'Student Report'!$B154</f>
        <v/>
      </c>
      <c r="C164" s="30">
        <f>'Student Report'!$C154</f>
        <v/>
      </c>
      <c r="D164" s="30">
        <f>'Student Report'!$G154</f>
        <v/>
      </c>
      <c r="E164" s="30">
        <f>'Student Report'!$I154</f>
        <v/>
      </c>
      <c r="F164" s="57">
        <f>'Student Report'!$AJ154</f>
        <v/>
      </c>
      <c r="G164" s="30">
        <f>'Student Report'!$AK154</f>
        <v/>
      </c>
      <c r="H164" s="30">
        <f>IF($B164="","",COUNTIF(I164:O164,"Not Yet"))</f>
        <v/>
      </c>
      <c r="I164" s="30">
        <f>IFERROR(IF('Student Report'!$V154&lt;&gt;"",IF('Student Report'!$V154&gt;=Settings!$B$11,"Mastered",IF('Student Report'!$V154&gt;=Settings!$B$12,"Approaching","Not Yet")),IF('Student Report'!$O154&lt;&gt;"",IF('Student Report'!$O154&gt;=Settings!$B$11,"Mastered",IF('Student Report'!$O154&gt;=Settings!$B$12,"Approaching","Not Yet")),"")),"")</f>
        <v/>
      </c>
      <c r="J164" s="30">
        <f>IFERROR(IF('Student Report'!$W154&lt;&gt;"",IF('Student Report'!$W154&gt;=Settings!$B$11,"Mastered",IF('Student Report'!$W154&gt;=Settings!$B$12,"Approaching","Not Yet")),IF('Student Report'!$P154&lt;&gt;"",IF('Student Report'!$P154&gt;=Settings!$B$11,"Mastered",IF('Student Report'!$P154&gt;=Settings!$B$12,"Approaching","Not Yet")),"")),"")</f>
        <v/>
      </c>
      <c r="K164" s="30">
        <f>IFERROR(IF('Student Report'!$X154&lt;&gt;"",IF('Student Report'!$X154&gt;=Settings!$B$11,"Mastered",IF('Student Report'!$X154&gt;=Settings!$B$12,"Approaching","Not Yet")),IF('Student Report'!$Q154&lt;&gt;"",IF('Student Report'!$Q154&gt;=Settings!$B$11,"Mastered",IF('Student Report'!$Q154&gt;=Settings!$B$12,"Approaching","Not Yet")),"")),"")</f>
        <v/>
      </c>
      <c r="L164" s="30">
        <f>IFERROR(IF('Student Report'!$Y154&lt;&gt;"",IF('Student Report'!$Y154&gt;=Settings!$B$11,"Mastered",IF('Student Report'!$Y154&gt;=Settings!$B$12,"Approaching","Not Yet")),IF('Student Report'!$R154&lt;&gt;"",IF('Student Report'!$R154&gt;=Settings!$B$11,"Mastered",IF('Student Report'!$R154&gt;=Settings!$B$12,"Approaching","Not Yet")),"")),"")</f>
        <v/>
      </c>
      <c r="M164" s="30">
        <f>IFERROR(IF('Student Report'!$Z154&lt;&gt;"",IF('Student Report'!$Z154&gt;=Settings!$B$11,"Mastered",IF('Student Report'!$Z154&gt;=Settings!$B$12,"Approaching","Not Yet")),IF('Student Report'!$S154&lt;&gt;"",IF('Student Report'!$S154&gt;=Settings!$B$11,"Mastered",IF('Student Report'!$S154&gt;=Settings!$B$12,"Approaching","Not Yet")),"")),"")</f>
        <v/>
      </c>
      <c r="N164" s="30">
        <f>IFERROR(IF('Student Report'!$AA154&lt;&gt;"",IF('Student Report'!$AA154&gt;=Settings!$B$11,"Mastered",IF('Student Report'!$AA154&gt;=Settings!$B$12,"Approaching","Not Yet")),IF('Student Report'!$T154&lt;&gt;"",IF('Student Report'!$T154&gt;=Settings!$B$11,"Mastered",IF('Student Report'!$T154&gt;=Settings!$B$12,"Approaching","Not Yet")),"")),"")</f>
        <v/>
      </c>
      <c r="O164" s="30">
        <f>IFERROR(IF('Student Report'!$AB154&lt;&gt;"",IF('Student Report'!$AB154&gt;=Settings!$B$11,"Mastered",IF('Student Report'!$AB154&gt;=Settings!$B$12,"Approaching","Not Yet")),IF('Student Report'!$U154&lt;&gt;"",IF('Student Report'!$U154&gt;=Settings!$B$11,"Mastered",IF('Student Report'!$U154&gt;=Settings!$B$12,"Approaching","Not Yet")),"")),"")</f>
        <v/>
      </c>
    </row>
    <row r="165">
      <c r="A165" s="30">
        <f>'Student Report'!$A155</f>
        <v/>
      </c>
      <c r="B165" s="56">
        <f>'Student Report'!$B155</f>
        <v/>
      </c>
      <c r="C165" s="30">
        <f>'Student Report'!$C155</f>
        <v/>
      </c>
      <c r="D165" s="30">
        <f>'Student Report'!$G155</f>
        <v/>
      </c>
      <c r="E165" s="30">
        <f>'Student Report'!$I155</f>
        <v/>
      </c>
      <c r="F165" s="57">
        <f>'Student Report'!$AJ155</f>
        <v/>
      </c>
      <c r="G165" s="30">
        <f>'Student Report'!$AK155</f>
        <v/>
      </c>
      <c r="H165" s="30">
        <f>IF($B165="","",COUNTIF(I165:O165,"Not Yet"))</f>
        <v/>
      </c>
      <c r="I165" s="30">
        <f>IFERROR(IF('Student Report'!$V155&lt;&gt;"",IF('Student Report'!$V155&gt;=Settings!$B$11,"Mastered",IF('Student Report'!$V155&gt;=Settings!$B$12,"Approaching","Not Yet")),IF('Student Report'!$O155&lt;&gt;"",IF('Student Report'!$O155&gt;=Settings!$B$11,"Mastered",IF('Student Report'!$O155&gt;=Settings!$B$12,"Approaching","Not Yet")),"")),"")</f>
        <v/>
      </c>
      <c r="J165" s="30">
        <f>IFERROR(IF('Student Report'!$W155&lt;&gt;"",IF('Student Report'!$W155&gt;=Settings!$B$11,"Mastered",IF('Student Report'!$W155&gt;=Settings!$B$12,"Approaching","Not Yet")),IF('Student Report'!$P155&lt;&gt;"",IF('Student Report'!$P155&gt;=Settings!$B$11,"Mastered",IF('Student Report'!$P155&gt;=Settings!$B$12,"Approaching","Not Yet")),"")),"")</f>
        <v/>
      </c>
      <c r="K165" s="30">
        <f>IFERROR(IF('Student Report'!$X155&lt;&gt;"",IF('Student Report'!$X155&gt;=Settings!$B$11,"Mastered",IF('Student Report'!$X155&gt;=Settings!$B$12,"Approaching","Not Yet")),IF('Student Report'!$Q155&lt;&gt;"",IF('Student Report'!$Q155&gt;=Settings!$B$11,"Mastered",IF('Student Report'!$Q155&gt;=Settings!$B$12,"Approaching","Not Yet")),"")),"")</f>
        <v/>
      </c>
      <c r="L165" s="30">
        <f>IFERROR(IF('Student Report'!$Y155&lt;&gt;"",IF('Student Report'!$Y155&gt;=Settings!$B$11,"Mastered",IF('Student Report'!$Y155&gt;=Settings!$B$12,"Approaching","Not Yet")),IF('Student Report'!$R155&lt;&gt;"",IF('Student Report'!$R155&gt;=Settings!$B$11,"Mastered",IF('Student Report'!$R155&gt;=Settings!$B$12,"Approaching","Not Yet")),"")),"")</f>
        <v/>
      </c>
      <c r="M165" s="30">
        <f>IFERROR(IF('Student Report'!$Z155&lt;&gt;"",IF('Student Report'!$Z155&gt;=Settings!$B$11,"Mastered",IF('Student Report'!$Z155&gt;=Settings!$B$12,"Approaching","Not Yet")),IF('Student Report'!$S155&lt;&gt;"",IF('Student Report'!$S155&gt;=Settings!$B$11,"Mastered",IF('Student Report'!$S155&gt;=Settings!$B$12,"Approaching","Not Yet")),"")),"")</f>
        <v/>
      </c>
      <c r="N165" s="30">
        <f>IFERROR(IF('Student Report'!$AA155&lt;&gt;"",IF('Student Report'!$AA155&gt;=Settings!$B$11,"Mastered",IF('Student Report'!$AA155&gt;=Settings!$B$12,"Approaching","Not Yet")),IF('Student Report'!$T155&lt;&gt;"",IF('Student Report'!$T155&gt;=Settings!$B$11,"Mastered",IF('Student Report'!$T155&gt;=Settings!$B$12,"Approaching","Not Yet")),"")),"")</f>
        <v/>
      </c>
      <c r="O165" s="30">
        <f>IFERROR(IF('Student Report'!$AB155&lt;&gt;"",IF('Student Report'!$AB155&gt;=Settings!$B$11,"Mastered",IF('Student Report'!$AB155&gt;=Settings!$B$12,"Approaching","Not Yet")),IF('Student Report'!$U155&lt;&gt;"",IF('Student Report'!$U155&gt;=Settings!$B$11,"Mastered",IF('Student Report'!$U155&gt;=Settings!$B$12,"Approaching","Not Yet")),"")),"")</f>
        <v/>
      </c>
    </row>
  </sheetData>
  <mergeCells count="4">
    <mergeCell ref="A1:P1"/>
    <mergeCell ref="A14:P14"/>
    <mergeCell ref="A4:P4"/>
    <mergeCell ref="A2:P2"/>
  </mergeCells>
  <conditionalFormatting sqref="E6:E12">
    <cfRule type="expression" priority="1" dxfId="5">
      <formula>LEFT($E6,11)="WHOLE CLASS"</formula>
    </cfRule>
  </conditionalFormatting>
  <conditionalFormatting sqref="I16:O165">
    <cfRule type="cellIs" priority="2" operator="equal" dxfId="1">
      <formula>"Mastered"</formula>
    </cfRule>
    <cfRule type="cellIs" priority="3" operator="equal" dxfId="2">
      <formula>"Approaching"</formula>
    </cfRule>
    <cfRule type="cellIs" priority="4" operator="equal" dxfId="3">
      <formula>"Not Yet"</formula>
    </cfRule>
  </conditionalFormatting>
  <conditionalFormatting sqref="H16:H165">
    <cfRule type="cellIs" priority="5" operator="greaterThanOrEqual" dxfId="5">
      <formula>4</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6"/>
  <sheetViews>
    <sheetView showGridLines="0" workbookViewId="0">
      <selection activeCell="A1" sqref="A1"/>
    </sheetView>
  </sheetViews>
  <sheetFormatPr baseColWidth="8" defaultRowHeight="15"/>
  <cols>
    <col width="16" customWidth="1" min="1" max="1"/>
    <col width="60" customWidth="1" min="2" max="2"/>
    <col width="10" customWidth="1" min="3" max="3"/>
    <col width="12" customWidth="1" min="4" max="4"/>
    <col width="60" customWidth="1" min="5" max="5"/>
  </cols>
  <sheetData>
    <row r="1" ht="30" customHeight="1">
      <c r="A1" s="1" t="inlineStr">
        <is>
          <t>Standards Coverage — what this instrument measures, and what it does not</t>
        </is>
      </c>
    </row>
    <row r="2">
      <c r="A2" s="8" t="inlineStr">
        <is>
          <t>Read the second table before planning from this data. Roughly a quarter of the Grade 7 expectations cannot be measured in a written booklet and must be assessed through classroom performance tasks.</t>
        </is>
      </c>
    </row>
    <row r="4" ht="20" customHeight="1">
      <c r="A4" s="3" t="inlineStr">
        <is>
          <t>Expectations assessed by this instrument</t>
        </is>
      </c>
    </row>
    <row r="5">
      <c r="A5" s="15" t="inlineStr">
        <is>
          <t>Expectation</t>
        </is>
      </c>
      <c r="B5" s="15" t="inlineStr">
        <is>
          <t>Skill</t>
        </is>
      </c>
      <c r="C5" s="15" t="inlineStr">
        <is>
          <t>Items</t>
        </is>
      </c>
      <c r="D5" s="15" t="inlineStr">
        <is>
          <t>Category</t>
        </is>
      </c>
    </row>
    <row r="6">
      <c r="A6" s="30" t="inlineStr">
        <is>
          <t>7.L.GC.1</t>
        </is>
      </c>
      <c r="B6" s="39" t="inlineStr">
        <is>
          <t>Grammar, usage &amp; mechanics (GUM: semicolons in a complex series)</t>
        </is>
      </c>
      <c r="C6" s="30" t="inlineStr">
        <is>
          <t>35</t>
        </is>
      </c>
      <c r="D6" s="30" t="inlineStr">
        <is>
          <t>C-LNG</t>
        </is>
      </c>
    </row>
    <row r="7">
      <c r="A7" s="50" t="inlineStr">
        <is>
          <t>7.L.GC.2.a</t>
        </is>
      </c>
      <c r="B7" s="51" t="inlineStr">
        <is>
          <t>Apply syntax understanding to comprehend and analyze texts</t>
        </is>
      </c>
      <c r="C7" s="50" t="inlineStr">
        <is>
          <t>21</t>
        </is>
      </c>
      <c r="D7" s="50" t="inlineStr">
        <is>
          <t>I-LNG</t>
        </is>
      </c>
    </row>
    <row r="8">
      <c r="A8" s="30" t="inlineStr">
        <is>
          <t>7.L.GC.2.b</t>
        </is>
      </c>
      <c r="B8" s="39" t="inlineStr">
        <is>
          <t>Sentence variety; consistent verb tense</t>
        </is>
      </c>
      <c r="C8" s="30" t="inlineStr">
        <is>
          <t>32, essay T3</t>
        </is>
      </c>
      <c r="D8" s="30" t="inlineStr">
        <is>
          <t>C-LNG</t>
        </is>
      </c>
    </row>
    <row r="9">
      <c r="A9" s="50" t="inlineStr">
        <is>
          <t>7.L.GC.2.c</t>
        </is>
      </c>
      <c r="B9" s="51" t="inlineStr">
        <is>
          <t>Distinguish active and passive voice; revise for active voice</t>
        </is>
      </c>
      <c r="C9" s="50" t="inlineStr">
        <is>
          <t>33, essay T3</t>
        </is>
      </c>
      <c r="D9" s="50" t="inlineStr">
        <is>
          <t>C-LNG</t>
        </is>
      </c>
    </row>
    <row r="10">
      <c r="A10" s="30" t="inlineStr">
        <is>
          <t>7.L.GC.2.d</t>
        </is>
      </c>
      <c r="B10" s="39" t="inlineStr">
        <is>
          <t>Avoid misplaced and dangling modifiers</t>
        </is>
      </c>
      <c r="C10" s="30" t="inlineStr">
        <is>
          <t>34, essay T3</t>
        </is>
      </c>
      <c r="D10" s="30" t="inlineStr">
        <is>
          <t>C-LNG</t>
        </is>
      </c>
    </row>
    <row r="11">
      <c r="A11" s="50" t="inlineStr">
        <is>
          <t>7.L.V.2.a</t>
        </is>
      </c>
      <c r="B11" s="51" t="inlineStr">
        <is>
          <t>Greek and Latin roots and affixes</t>
        </is>
      </c>
      <c r="C11" s="50" t="inlineStr">
        <is>
          <t>14</t>
        </is>
      </c>
      <c r="D11" s="50" t="inlineStr">
        <is>
          <t>I-LNG</t>
        </is>
      </c>
    </row>
    <row r="12">
      <c r="A12" s="30" t="inlineStr">
        <is>
          <t>7.L.V.2.b</t>
        </is>
      </c>
      <c r="B12" s="39" t="inlineStr">
        <is>
          <t>Parts of speech as a clue to meaning</t>
        </is>
      </c>
      <c r="C12" s="30" t="inlineStr">
        <is>
          <t>15</t>
        </is>
      </c>
      <c r="D12" s="30" t="inlineStr">
        <is>
          <t>I-LNG</t>
        </is>
      </c>
    </row>
    <row r="13">
      <c r="A13" s="50" t="inlineStr">
        <is>
          <t>7.L.V.2.d</t>
        </is>
      </c>
      <c r="B13" s="51" t="inlineStr">
        <is>
          <t>Use parts of speech to choose precise words when writing</t>
        </is>
      </c>
      <c r="C13" s="50" t="inlineStr">
        <is>
          <t>36</t>
        </is>
      </c>
      <c r="D13" s="50" t="inlineStr">
        <is>
          <t>C-LNG</t>
        </is>
      </c>
    </row>
    <row r="14">
      <c r="A14" s="30" t="inlineStr">
        <is>
          <t>7.L.V.3.b</t>
        </is>
      </c>
      <c r="B14" s="39" t="inlineStr">
        <is>
          <t>Word relationships and context clues beyond the sentence</t>
        </is>
      </c>
      <c r="C14" s="30" t="inlineStr">
        <is>
          <t>3</t>
        </is>
      </c>
      <c r="D14" s="30" t="inlineStr">
        <is>
          <t>I-LNG</t>
        </is>
      </c>
    </row>
    <row r="15">
      <c r="A15" s="50" t="inlineStr">
        <is>
          <t>7.L.V.3.c</t>
        </is>
      </c>
      <c r="B15" s="51" t="inlineStr">
        <is>
          <t>Connotations of words sharing a denotation</t>
        </is>
      </c>
      <c r="C15" s="50" t="inlineStr">
        <is>
          <t>19</t>
        </is>
      </c>
      <c r="D15" s="50" t="inlineStr">
        <is>
          <t>I-LNG</t>
        </is>
      </c>
    </row>
    <row r="16">
      <c r="A16" s="30" t="inlineStr">
        <is>
          <t>7.L.V.1.b</t>
        </is>
      </c>
      <c r="B16" s="39" t="inlineStr">
        <is>
          <t>Use grade-level academic vocabulary to communicate precisely</t>
        </is>
      </c>
      <c r="C16" s="30" t="inlineStr">
        <is>
          <t>essay T3</t>
        </is>
      </c>
      <c r="D16" s="30" t="inlineStr">
        <is>
          <t>C-LNG</t>
        </is>
      </c>
    </row>
    <row r="17">
      <c r="A17" s="50" t="inlineStr">
        <is>
          <t>7.T.C.1.a</t>
        </is>
      </c>
      <c r="B17" s="51" t="inlineStr">
        <is>
          <t>Multiple purposes within a single text and the audiences they target</t>
        </is>
      </c>
      <c r="C17" s="50" t="inlineStr">
        <is>
          <t>16</t>
        </is>
      </c>
      <c r="D17" s="50" t="inlineStr">
        <is>
          <t>I-CSS</t>
        </is>
      </c>
    </row>
    <row r="18">
      <c r="A18" s="30" t="inlineStr">
        <is>
          <t>7.T.C.1.c</t>
        </is>
      </c>
      <c r="B18" s="39" t="inlineStr">
        <is>
          <t>Construct texts for a specific purpose and audience</t>
        </is>
      </c>
      <c r="C18" s="30" t="inlineStr">
        <is>
          <t>essay T1</t>
        </is>
      </c>
      <c r="D18" s="30" t="inlineStr">
        <is>
          <t>C-CSS</t>
        </is>
      </c>
    </row>
    <row r="19">
      <c r="A19" s="50" t="inlineStr">
        <is>
          <t>7.T.C.2.a</t>
        </is>
      </c>
      <c r="B19" s="51" t="inlineStr">
        <is>
          <t>Determine the prevailing perspective in a text</t>
        </is>
      </c>
      <c r="C19" s="50" t="inlineStr">
        <is>
          <t>20A</t>
        </is>
      </c>
      <c r="D19" s="50" t="inlineStr">
        <is>
          <t>I-CSS</t>
        </is>
      </c>
    </row>
    <row r="20">
      <c r="A20" s="30" t="inlineStr">
        <is>
          <t>7.T.C.2.b</t>
        </is>
      </c>
      <c r="B20" s="39" t="inlineStr">
        <is>
          <t>How evidence and tone reveal perspective and affect credibility</t>
        </is>
      </c>
      <c r="C20" s="30" t="inlineStr">
        <is>
          <t>20B</t>
        </is>
      </c>
      <c r="D20" s="30" t="inlineStr">
        <is>
          <t>I-CSS</t>
        </is>
      </c>
    </row>
    <row r="21">
      <c r="A21" s="50" t="inlineStr">
        <is>
          <t>7.T.C.2.d</t>
        </is>
      </c>
      <c r="B21" s="51" t="inlineStr">
        <is>
          <t>Use credible sources to research answers to questions</t>
        </is>
      </c>
      <c r="C21" s="50" t="inlineStr">
        <is>
          <t>essay T2</t>
        </is>
      </c>
      <c r="D21" s="50" t="inlineStr">
        <is>
          <t>C-TEC</t>
        </is>
      </c>
    </row>
    <row r="22">
      <c r="A22" s="30" t="inlineStr">
        <is>
          <t>7.T.SS.1.a</t>
        </is>
      </c>
      <c r="B22" s="39" t="inlineStr">
        <is>
          <t>How authors modify organizational structures to achieve purposes</t>
        </is>
      </c>
      <c r="C22" s="30" t="inlineStr">
        <is>
          <t>11</t>
        </is>
      </c>
      <c r="D22" s="30" t="inlineStr">
        <is>
          <t>I-CSS</t>
        </is>
      </c>
    </row>
    <row r="23">
      <c r="A23" s="50" t="inlineStr">
        <is>
          <t>7.T.SS.1.b</t>
        </is>
      </c>
      <c r="B23" s="51" t="inlineStr">
        <is>
          <t>Design texts employing structures and features</t>
        </is>
      </c>
      <c r="C23" s="50" t="inlineStr">
        <is>
          <t>essay T1</t>
        </is>
      </c>
      <c r="D23" s="50" t="inlineStr">
        <is>
          <t>C-CSS</t>
        </is>
      </c>
    </row>
    <row r="24">
      <c r="A24" s="30" t="inlineStr">
        <is>
          <t>7.T.SS.1.c</t>
        </is>
      </c>
      <c r="B24" s="39" t="inlineStr">
        <is>
          <t>Varied transitions connecting ideas, sentences, and paragraphs</t>
        </is>
      </c>
      <c r="C24" s="30" t="inlineStr">
        <is>
          <t>30, essay T1</t>
        </is>
      </c>
      <c r="D24" s="30" t="inlineStr">
        <is>
          <t>C-CSS</t>
        </is>
      </c>
    </row>
    <row r="25">
      <c r="A25" s="50" t="inlineStr">
        <is>
          <t>7.T.SS.1.d</t>
        </is>
      </c>
      <c r="B25" s="51" t="inlineStr">
        <is>
          <t>Multi-paragraph texts: introduction, support, conclusion</t>
        </is>
      </c>
      <c r="C25" s="50" t="inlineStr">
        <is>
          <t>25, 38, essay T1</t>
        </is>
      </c>
      <c r="D25" s="50" t="inlineStr">
        <is>
          <t>C-CSS</t>
        </is>
      </c>
    </row>
    <row r="26">
      <c r="A26" s="30" t="inlineStr">
        <is>
          <t>7.T.SS.2.a</t>
        </is>
      </c>
      <c r="B26" s="39" t="inlineStr">
        <is>
          <t>How figurative and connotative language shape meaning, mood, tone</t>
        </is>
      </c>
      <c r="C26" s="30" t="inlineStr">
        <is>
          <t>4</t>
        </is>
      </c>
      <c r="D26" s="30" t="inlineStr">
        <is>
          <t>I-CSS</t>
        </is>
      </c>
    </row>
    <row r="27">
      <c r="A27" s="50" t="inlineStr">
        <is>
          <t>7.T.SS.2.c</t>
        </is>
      </c>
      <c r="B27" s="51" t="inlineStr">
        <is>
          <t>Situational use of formal or informal style</t>
        </is>
      </c>
      <c r="C27" s="50" t="inlineStr">
        <is>
          <t>31, essay T1</t>
        </is>
      </c>
      <c r="D27" s="50" t="inlineStr">
        <is>
          <t>C-CSS</t>
        </is>
      </c>
    </row>
    <row r="28">
      <c r="A28" s="30" t="inlineStr">
        <is>
          <t>7.T.T.1.a</t>
        </is>
      </c>
      <c r="B28" s="39" t="inlineStr">
        <is>
          <t>Narrative techniques developing plot, character, setting</t>
        </is>
      </c>
      <c r="C28" s="30" t="inlineStr">
        <is>
          <t>1</t>
        </is>
      </c>
      <c r="D28" s="30" t="inlineStr">
        <is>
          <t>I-TEC</t>
        </is>
      </c>
    </row>
    <row r="29">
      <c r="A29" s="50" t="inlineStr">
        <is>
          <t>7.T.T.1.b</t>
        </is>
      </c>
      <c r="B29" s="51" t="inlineStr">
        <is>
          <t>Plot structure, conflict, and narrative devices</t>
        </is>
      </c>
      <c r="C29" s="50" t="inlineStr">
        <is>
          <t>2</t>
        </is>
      </c>
      <c r="D29" s="50" t="inlineStr">
        <is>
          <t>I-TEC</t>
        </is>
      </c>
    </row>
    <row r="30">
      <c r="A30" s="30" t="inlineStr">
        <is>
          <t>7.T.T.1.c</t>
        </is>
      </c>
      <c r="B30" s="39" t="inlineStr">
        <is>
          <t>How themes are developed and expressed across texts</t>
        </is>
      </c>
      <c r="C30" s="30" t="inlineStr">
        <is>
          <t>5, 8</t>
        </is>
      </c>
      <c r="D30" s="30" t="inlineStr">
        <is>
          <t>I-TEC</t>
        </is>
      </c>
    </row>
    <row r="31">
      <c r="A31" s="50" t="inlineStr">
        <is>
          <t>7.T.T.1.d</t>
        </is>
      </c>
      <c r="B31" s="51" t="inlineStr">
        <is>
          <t>Compare a fictional portrayal with an account of the same material</t>
        </is>
      </c>
      <c r="C31" s="50" t="inlineStr">
        <is>
          <t>10</t>
        </is>
      </c>
      <c r="D31" s="50" t="inlineStr">
        <is>
          <t>I-PRA</t>
        </is>
      </c>
    </row>
    <row r="32">
      <c r="A32" s="30" t="inlineStr">
        <is>
          <t>7.T.T.2.a</t>
        </is>
      </c>
      <c r="B32" s="39" t="inlineStr">
        <is>
          <t>Expository techniques: main ideas, facts, statistics, text features</t>
        </is>
      </c>
      <c r="C32" s="30" t="inlineStr">
        <is>
          <t>12, 13</t>
        </is>
      </c>
      <c r="D32" s="30" t="inlineStr">
        <is>
          <t>I-TEC</t>
        </is>
      </c>
    </row>
    <row r="33">
      <c r="A33" s="50" t="inlineStr">
        <is>
          <t>7.T.T.2.b</t>
        </is>
      </c>
      <c r="B33" s="51" t="inlineStr">
        <is>
          <t>How two authors on one topic emphasize different evidence</t>
        </is>
      </c>
      <c r="C33" s="50" t="inlineStr">
        <is>
          <t>22</t>
        </is>
      </c>
      <c r="D33" s="50" t="inlineStr">
        <is>
          <t>I-TEC</t>
        </is>
      </c>
    </row>
    <row r="34">
      <c r="A34" s="30" t="inlineStr">
        <is>
          <t>7.T.T.2.d</t>
        </is>
      </c>
      <c r="B34" s="39" t="inlineStr">
        <is>
          <t>Apply expository techniques; elaborate on reasons</t>
        </is>
      </c>
      <c r="C34" s="30" t="inlineStr">
        <is>
          <t>28, essay T2</t>
        </is>
      </c>
      <c r="D34" s="30" t="inlineStr">
        <is>
          <t>C-TEC</t>
        </is>
      </c>
    </row>
    <row r="35">
      <c r="A35" s="50" t="inlineStr">
        <is>
          <t>7.T.T.3.a</t>
        </is>
      </c>
      <c r="B35" s="51" t="inlineStr">
        <is>
          <t>Argumentative techniques: claim, evidence, counterclaim, conclusion</t>
        </is>
      </c>
      <c r="C35" s="50" t="inlineStr">
        <is>
          <t>17, 18</t>
        </is>
      </c>
      <c r="D35" s="50" t="inlineStr">
        <is>
          <t>I-TEC</t>
        </is>
      </c>
    </row>
    <row r="36">
      <c r="A36" s="30" t="inlineStr">
        <is>
          <t>7.T.T.3.c</t>
        </is>
      </c>
      <c r="B36" s="39" t="inlineStr">
        <is>
          <t>Apply argumentative techniques when writing</t>
        </is>
      </c>
      <c r="C36" s="30" t="inlineStr">
        <is>
          <t>26, 27, 29, essay T2</t>
        </is>
      </c>
      <c r="D36" s="30" t="inlineStr">
        <is>
          <t>C-TEC</t>
        </is>
      </c>
    </row>
    <row r="37">
      <c r="A37" s="50" t="inlineStr">
        <is>
          <t>7.T.T.4.a</t>
        </is>
      </c>
      <c r="B37" s="51" t="inlineStr">
        <is>
          <t>Poetic techniques: stanzas, rhyme, imagery, sound devices</t>
        </is>
      </c>
      <c r="C37" s="50" t="inlineStr">
        <is>
          <t>6, 7</t>
        </is>
      </c>
      <c r="D37" s="50" t="inlineStr">
        <is>
          <t>I-TEC</t>
        </is>
      </c>
    </row>
    <row r="38">
      <c r="A38" s="30" t="inlineStr">
        <is>
          <t>7.T.PM.1.a</t>
        </is>
      </c>
      <c r="B38" s="39" t="inlineStr">
        <is>
          <t>Analyze a myth a modern writer has adapted; features of style and theme</t>
        </is>
      </c>
      <c r="C38" s="30" t="inlineStr">
        <is>
          <t>9, 10</t>
        </is>
      </c>
      <c r="D38" s="30" t="inlineStr">
        <is>
          <t>I-PRA</t>
        </is>
      </c>
    </row>
    <row r="39">
      <c r="A39" s="50" t="inlineStr">
        <is>
          <t>7.T.RA.2.a</t>
        </is>
      </c>
      <c r="B39" s="51" t="inlineStr">
        <is>
          <t>Locate evidence; record standard bibliographic information</t>
        </is>
      </c>
      <c r="C39" s="50" t="inlineStr">
        <is>
          <t>24</t>
        </is>
      </c>
      <c r="D39" s="50" t="inlineStr">
        <is>
          <t>I-PRA</t>
        </is>
      </c>
    </row>
    <row r="40">
      <c r="A40" s="30" t="inlineStr">
        <is>
          <t>7.T.RA.2.b</t>
        </is>
      </c>
      <c r="B40" s="39" t="inlineStr">
        <is>
          <t>Analyze sources for credibility and relevance</t>
        </is>
      </c>
      <c r="C40" s="30" t="inlineStr">
        <is>
          <t>23</t>
        </is>
      </c>
      <c r="D40" s="30" t="inlineStr">
        <is>
          <t>I-PRA</t>
        </is>
      </c>
    </row>
    <row r="41">
      <c r="A41" s="50" t="inlineStr">
        <is>
          <t>7.T.RA.2.c</t>
        </is>
      </c>
      <c r="B41" s="51" t="inlineStr">
        <is>
          <t>Follow a standard citation format when integrating evidence</t>
        </is>
      </c>
      <c r="C41" s="50" t="inlineStr">
        <is>
          <t>27, 37, essay T2</t>
        </is>
      </c>
      <c r="D41" s="50" t="inlineStr">
        <is>
          <t>C-TEC</t>
        </is>
      </c>
    </row>
    <row r="44" ht="20" customHeight="1">
      <c r="A44" s="3" t="inlineStr">
        <is>
          <t>Expectations NOT assessed by this instrument — and how to assess them</t>
        </is>
      </c>
    </row>
    <row r="45">
      <c r="A45" s="15" t="inlineStr">
        <is>
          <t>Expectation</t>
        </is>
      </c>
      <c r="B45" s="15" t="inlineStr">
        <is>
          <t>Skill</t>
        </is>
      </c>
      <c r="C45" s="15" t="inlineStr"/>
      <c r="D45" s="15" t="inlineStr"/>
      <c r="E45" s="15" t="inlineStr">
        <is>
          <t>How to assess it instead</t>
        </is>
      </c>
    </row>
    <row r="46" ht="30" customHeight="1">
      <c r="A46" s="30" t="inlineStr">
        <is>
          <t>7.T.C.1.b</t>
        </is>
      </c>
      <c r="B46" s="39" t="inlineStr">
        <is>
          <t>Use text mode features across disciplinary texts</t>
        </is>
      </c>
      <c r="C46" s="30" t="inlineStr"/>
      <c r="D46" s="30" t="inlineStr">
        <is>
          <t>Partially covered by item 13 (data table). Full coverage needs multimodal and digital texts — assess in a science or social studies reading task.</t>
        </is>
      </c>
    </row>
    <row r="47" ht="30" customHeight="1">
      <c r="A47" s="50" t="inlineStr">
        <is>
          <t>7.T.SS.2.b</t>
        </is>
      </c>
      <c r="B47" s="51" t="inlineStr">
        <is>
          <t>Use figurative language for intentional effect when writing</t>
        </is>
      </c>
      <c r="C47" s="50" t="inlineStr"/>
      <c r="D47" s="50" t="inlineStr">
        <is>
          <t>Narrative or poetic writing task. The essay on this instrument is argumentative.</t>
        </is>
      </c>
    </row>
    <row r="48" ht="30" customHeight="1">
      <c r="A48" s="30" t="inlineStr">
        <is>
          <t>7.T.T.1.e</t>
        </is>
      </c>
      <c r="B48" s="39" t="inlineStr">
        <is>
          <t>Apply narrative techniques to enhance writing</t>
        </is>
      </c>
      <c r="C48" s="30" t="inlineStr"/>
      <c r="D48" s="30" t="inlineStr">
        <is>
          <t>Narrative writing performance task.</t>
        </is>
      </c>
    </row>
    <row r="49" ht="30" customHeight="1">
      <c r="A49" s="50" t="inlineStr">
        <is>
          <t>7.T.T.4.b</t>
        </is>
      </c>
      <c r="B49" s="51" t="inlineStr">
        <is>
          <t>Apply poetic techniques to produce poetry</t>
        </is>
      </c>
      <c r="C49" s="50" t="inlineStr"/>
      <c r="D49" s="50" t="inlineStr">
        <is>
          <t>Poetry writing performance task.</t>
        </is>
      </c>
    </row>
    <row r="50" ht="30" customHeight="1">
      <c r="A50" s="30" t="inlineStr">
        <is>
          <t>7.T.RA.1.a-c</t>
        </is>
      </c>
      <c r="B50" s="39" t="inlineStr">
        <is>
          <t>Generate research questions; conduct research; analyze from research</t>
        </is>
      </c>
      <c r="C50" s="30" t="inlineStr"/>
      <c r="D50" s="30" t="inlineStr">
        <is>
          <t>Multi-day research unit with a process rubric — cannot be captured in a single sitting.</t>
        </is>
      </c>
    </row>
    <row r="51" ht="30" customHeight="1">
      <c r="A51" s="50" t="inlineStr">
        <is>
          <t>7.T.PM.1.b</t>
        </is>
      </c>
      <c r="B51" s="51" t="inlineStr">
        <is>
          <t>Analyze a genre of literature from a particular time period</t>
        </is>
      </c>
      <c r="C51" s="50" t="inlineStr"/>
      <c r="D51" s="50" t="inlineStr">
        <is>
          <t>Extended text study with a culminating analysis.</t>
        </is>
      </c>
    </row>
    <row r="52" ht="30" customHeight="1">
      <c r="A52" s="30" t="inlineStr">
        <is>
          <t>7.L.V.1.a</t>
        </is>
      </c>
      <c r="B52" s="39" t="inlineStr">
        <is>
          <t>Acquire vocabulary through print, digital, and multimodal texts</t>
        </is>
      </c>
      <c r="C52" s="30" t="inlineStr"/>
      <c r="D52" s="30" t="inlineStr">
        <is>
          <t>Ongoing vocabulary assessment across the year.</t>
        </is>
      </c>
    </row>
    <row r="53" ht="30" customHeight="1">
      <c r="A53" s="50" t="inlineStr">
        <is>
          <t>7.L.V.3.d / 7.L.V.3.e</t>
        </is>
      </c>
      <c r="B53" s="51" t="inlineStr">
        <is>
          <t>Use print and digital reference tools to clarify meaning</t>
        </is>
      </c>
      <c r="C53" s="50" t="inlineStr"/>
      <c r="D53" s="50" t="inlineStr">
        <is>
          <t>Requires tool access, which conflicts with secure testing. Assess during writing conferences.</t>
        </is>
      </c>
    </row>
    <row r="54" ht="30" customHeight="1">
      <c r="A54" s="30" t="inlineStr">
        <is>
          <t>7.L.V.2.c</t>
        </is>
      </c>
      <c r="B54" s="39" t="inlineStr">
        <is>
          <t>Construct words from Greek and Latin roots and affixes</t>
        </is>
      </c>
      <c r="C54" s="30" t="inlineStr"/>
      <c r="D54" s="30" t="inlineStr">
        <is>
          <t>Assessed only indirectly through essay word choice. Use a morphology quiz.</t>
        </is>
      </c>
    </row>
    <row r="55" ht="30" customHeight="1">
      <c r="A55" s="50" t="inlineStr">
        <is>
          <t>K-12.P.CP.1</t>
        </is>
      </c>
      <c r="B55" s="51" t="inlineStr">
        <is>
          <t>Collaboration</t>
        </is>
      </c>
      <c r="C55" s="50" t="inlineStr"/>
      <c r="D55" s="50" t="inlineStr">
        <is>
          <t>Structured discussion protocol with an observation rubric.</t>
        </is>
      </c>
    </row>
    <row r="56" ht="30" customHeight="1">
      <c r="A56" s="30" t="inlineStr">
        <is>
          <t>K-12.P.CP.2</t>
        </is>
      </c>
      <c r="B56" s="39" t="inlineStr">
        <is>
          <t>Presentation</t>
        </is>
      </c>
      <c r="C56" s="30" t="inlineStr"/>
      <c r="D56" s="30" t="inlineStr">
        <is>
          <t>Oral presentation with a presentation rubric.</t>
        </is>
      </c>
    </row>
  </sheetData>
  <mergeCells count="4">
    <mergeCell ref="A2:E2"/>
    <mergeCell ref="A1:E1"/>
    <mergeCell ref="A4:E4"/>
    <mergeCell ref="A44:E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2026-08-06T15:43:28Z</dcterms:created>
  <dcterms:modified xsi:type="dcterms:W3CDTF">2026-08-06T15:43:29Z</dcterms:modified>
</cp:coreProperties>
</file>